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.공유문서\7. BAIT 관련\1. 재고량 및 상세현황\"/>
    </mc:Choice>
  </mc:AlternateContent>
  <xr:revisionPtr revIDLastSave="0" documentId="13_ncr:1_{5D87B2AE-E096-4A22-AFCF-BE2573F76436}" xr6:coauthVersionLast="47" xr6:coauthVersionMax="47" xr10:uidLastSave="{00000000-0000-0000-0000-000000000000}"/>
  <bookViews>
    <workbookView xWindow="-120" yWindow="-120" windowWidth="29040" windowHeight="15720" tabRatio="493" xr2:uid="{00000000-000D-0000-FFFF-FFFF00000000}"/>
  </bookViews>
  <sheets>
    <sheet name="04-27" sheetId="1" r:id="rId1"/>
    <sheet name="선적 계획" sheetId="8" r:id="rId2"/>
    <sheet name="상세재고 현황" sheetId="10" r:id="rId3"/>
    <sheet name="Sheet1" sheetId="9" state="hidden" r:id="rId4"/>
  </sheets>
  <definedNames>
    <definedName name="_xlnm.Print_Area" localSheetId="0">'04-27'!$A$1:$G$22</definedName>
    <definedName name="_xlnm.Print_Area" localSheetId="2">'상세재고 현황'!$A$1:$J$117</definedName>
    <definedName name="_xlnm.Print_Area" localSheetId="1">'선적 계획'!$A$1:$P$15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0" l="1"/>
  <c r="H12" i="10"/>
  <c r="G11" i="10"/>
  <c r="G10" i="10"/>
  <c r="G9" i="10"/>
  <c r="G8" i="10"/>
  <c r="G7" i="10"/>
  <c r="C62" i="10"/>
  <c r="D20" i="1"/>
  <c r="D19" i="1"/>
  <c r="J90" i="10"/>
  <c r="F90" i="10"/>
  <c r="G90" i="10"/>
  <c r="H90" i="10"/>
  <c r="I90" i="10"/>
  <c r="E90" i="10"/>
  <c r="D90" i="10"/>
  <c r="C90" i="10"/>
  <c r="B90" i="10"/>
  <c r="J89" i="10"/>
  <c r="G12" i="10" l="1"/>
  <c r="K10" i="1"/>
  <c r="J10" i="1"/>
  <c r="I10" i="1"/>
  <c r="G21" i="10"/>
  <c r="G22" i="10"/>
  <c r="G20" i="10"/>
  <c r="G25" i="10"/>
  <c r="F22" i="10"/>
  <c r="F21" i="10"/>
  <c r="F20" i="10"/>
  <c r="F25" i="10" s="1"/>
  <c r="F11" i="10"/>
  <c r="F10" i="10"/>
  <c r="F12" i="10" s="1"/>
  <c r="F9" i="10"/>
  <c r="F8" i="10"/>
  <c r="F7" i="10"/>
  <c r="B61" i="10"/>
  <c r="B62" i="10" s="1"/>
  <c r="G51" i="10"/>
  <c r="F51" i="10"/>
  <c r="G41" i="10"/>
  <c r="F41" i="10"/>
  <c r="E21" i="10"/>
  <c r="E20" i="10"/>
  <c r="E25" i="10" s="1"/>
  <c r="D24" i="10"/>
  <c r="D23" i="10"/>
  <c r="D22" i="10"/>
  <c r="D21" i="10"/>
  <c r="D20" i="10"/>
  <c r="D25" i="10" s="1"/>
  <c r="C24" i="10"/>
  <c r="C23" i="10"/>
  <c r="C22" i="10"/>
  <c r="C21" i="10"/>
  <c r="C20" i="10"/>
  <c r="B24" i="10"/>
  <c r="B23" i="10"/>
  <c r="B22" i="10"/>
  <c r="B21" i="10"/>
  <c r="B25" i="10" s="1"/>
  <c r="C25" i="10" l="1"/>
  <c r="B79" i="10"/>
  <c r="E11" i="10"/>
  <c r="E10" i="10"/>
  <c r="C80" i="10"/>
  <c r="B88" i="10"/>
  <c r="C8" i="10"/>
  <c r="E9" i="10"/>
  <c r="D9" i="10"/>
  <c r="C9" i="10"/>
  <c r="B7" i="10"/>
  <c r="D8" i="10"/>
  <c r="E7" i="10" l="1"/>
  <c r="E12" i="10" s="1"/>
  <c r="D7" i="10"/>
  <c r="C7" i="10"/>
  <c r="C81" i="10" l="1"/>
  <c r="E81" i="10"/>
  <c r="F81" i="10"/>
  <c r="G81" i="10"/>
  <c r="H81" i="10"/>
  <c r="I81" i="10"/>
  <c r="D81" i="10"/>
  <c r="B81" i="10"/>
  <c r="J80" i="10"/>
  <c r="D12" i="10" l="1"/>
  <c r="C12" i="10"/>
  <c r="I12" i="10"/>
  <c r="J7" i="10" l="1"/>
  <c r="H25" i="10"/>
  <c r="J11" i="10"/>
  <c r="J10" i="10"/>
  <c r="J9" i="10"/>
  <c r="J8" i="10"/>
  <c r="J12" i="10" l="1"/>
  <c r="B12" i="10"/>
  <c r="I25" i="10" l="1"/>
  <c r="B51" i="10" l="1"/>
  <c r="J79" i="10" l="1"/>
  <c r="J81" i="10" l="1"/>
  <c r="D62" i="10"/>
  <c r="J2" i="10" l="1"/>
  <c r="I114" i="10" l="1"/>
  <c r="F114" i="10"/>
  <c r="E114" i="10"/>
  <c r="D114" i="10"/>
  <c r="C114" i="10"/>
  <c r="B113" i="10"/>
  <c r="B114" i="10" s="1"/>
  <c r="I107" i="10"/>
  <c r="H107" i="10"/>
  <c r="G107" i="10"/>
  <c r="F107" i="10"/>
  <c r="E107" i="10"/>
  <c r="D107" i="10"/>
  <c r="C107" i="10"/>
  <c r="B107" i="10"/>
  <c r="J106" i="10"/>
  <c r="J105" i="10"/>
  <c r="J104" i="10"/>
  <c r="J24" i="10"/>
  <c r="D15" i="1" s="1"/>
  <c r="J23" i="10"/>
  <c r="D14" i="1" s="1"/>
  <c r="J20" i="10"/>
  <c r="D11" i="1" s="1"/>
  <c r="I98" i="10"/>
  <c r="H98" i="10"/>
  <c r="G98" i="10"/>
  <c r="F98" i="10"/>
  <c r="E98" i="10"/>
  <c r="D98" i="10"/>
  <c r="C98" i="10"/>
  <c r="J97" i="10"/>
  <c r="B96" i="10"/>
  <c r="B98" i="10" s="1"/>
  <c r="J88" i="10"/>
  <c r="F73" i="10"/>
  <c r="E73" i="10"/>
  <c r="C73" i="10"/>
  <c r="J72" i="10"/>
  <c r="B71" i="10"/>
  <c r="B73" i="10" s="1"/>
  <c r="J70" i="10"/>
  <c r="D9" i="1"/>
  <c r="L9" i="1" s="1"/>
  <c r="D8" i="1"/>
  <c r="L8" i="1" s="1"/>
  <c r="D6" i="1"/>
  <c r="L6" i="1" s="1"/>
  <c r="D5" i="1"/>
  <c r="L5" i="1" s="1"/>
  <c r="I62" i="10"/>
  <c r="H62" i="10"/>
  <c r="G62" i="10"/>
  <c r="F62" i="10"/>
  <c r="E62" i="10"/>
  <c r="J61" i="10"/>
  <c r="I52" i="10"/>
  <c r="H52" i="10"/>
  <c r="E52" i="10"/>
  <c r="D52" i="10"/>
  <c r="C52" i="10"/>
  <c r="J51" i="10"/>
  <c r="J52" i="10" s="1"/>
  <c r="I42" i="10"/>
  <c r="H42" i="10"/>
  <c r="E42" i="10"/>
  <c r="D42" i="10"/>
  <c r="C42" i="10"/>
  <c r="B41" i="10"/>
  <c r="B42" i="10" s="1"/>
  <c r="M34" i="10"/>
  <c r="B33" i="10"/>
  <c r="J33" i="10" s="1"/>
  <c r="J34" i="10" s="1"/>
  <c r="D17" i="1" l="1"/>
  <c r="J62" i="10"/>
  <c r="J107" i="10"/>
  <c r="B34" i="10"/>
  <c r="B52" i="10"/>
  <c r="J22" i="10"/>
  <c r="D13" i="1" s="1"/>
  <c r="D21" i="1"/>
  <c r="J21" i="10"/>
  <c r="J41" i="10"/>
  <c r="J42" i="10" s="1"/>
  <c r="J96" i="10"/>
  <c r="J98" i="10" s="1"/>
  <c r="J71" i="10"/>
  <c r="J73" i="10" s="1"/>
  <c r="J113" i="10"/>
  <c r="J114" i="10" s="1"/>
  <c r="J25" i="10" l="1"/>
  <c r="D12" i="1"/>
  <c r="D7" i="1"/>
  <c r="L7" i="1" s="1"/>
  <c r="J117" i="10" l="1"/>
  <c r="E17" i="9"/>
  <c r="E21" i="9"/>
  <c r="E20" i="9"/>
  <c r="E19" i="9"/>
  <c r="E18" i="9"/>
  <c r="E15" i="9"/>
  <c r="E14" i="9"/>
  <c r="E11" i="9"/>
  <c r="E10" i="9"/>
  <c r="E9" i="9"/>
  <c r="M14" i="8" l="1"/>
  <c r="M13" i="8"/>
  <c r="M12" i="8"/>
  <c r="M11" i="8"/>
  <c r="U11" i="8" s="1"/>
  <c r="M10" i="8"/>
  <c r="M9" i="8"/>
  <c r="M8" i="8"/>
  <c r="G22" i="8"/>
  <c r="G21" i="8"/>
  <c r="G20" i="8"/>
  <c r="G19" i="8"/>
  <c r="G18" i="8"/>
  <c r="G17" i="8"/>
  <c r="G15" i="8"/>
  <c r="L22" i="8"/>
  <c r="K22" i="8"/>
  <c r="J22" i="8"/>
  <c r="I22" i="8"/>
  <c r="L21" i="8"/>
  <c r="K21" i="8"/>
  <c r="J21" i="8"/>
  <c r="I21" i="8"/>
  <c r="L20" i="8"/>
  <c r="K20" i="8"/>
  <c r="J20" i="8"/>
  <c r="I20" i="8"/>
  <c r="L19" i="8"/>
  <c r="K19" i="8"/>
  <c r="J19" i="8"/>
  <c r="I19" i="8"/>
  <c r="L18" i="8"/>
  <c r="K18" i="8"/>
  <c r="J18" i="8"/>
  <c r="I18" i="8"/>
  <c r="L17" i="8"/>
  <c r="K17" i="8"/>
  <c r="J17" i="8"/>
  <c r="I17" i="8"/>
  <c r="H19" i="8"/>
  <c r="G24" i="8" l="1"/>
  <c r="J24" i="8"/>
  <c r="K24" i="8"/>
  <c r="L24" i="8"/>
  <c r="I24" i="8"/>
  <c r="C11" i="8" l="1"/>
  <c r="M22" i="8"/>
  <c r="M21" i="8"/>
  <c r="M20" i="8"/>
  <c r="M17" i="8"/>
  <c r="L15" i="8"/>
  <c r="K15" i="8"/>
  <c r="J15" i="8"/>
  <c r="I15" i="8"/>
  <c r="H22" i="8"/>
  <c r="T11" i="8" l="1"/>
  <c r="F11" i="8"/>
  <c r="P11" i="8" s="1"/>
  <c r="V11" i="8" s="1"/>
  <c r="U9" i="8"/>
  <c r="M18" i="8"/>
  <c r="U10" i="8"/>
  <c r="M19" i="8"/>
  <c r="M24" i="8" l="1"/>
  <c r="U12" i="8"/>
  <c r="H20" i="8"/>
  <c r="H21" i="8"/>
  <c r="H18" i="8"/>
  <c r="H17" i="8"/>
  <c r="E15" i="8"/>
  <c r="H24" i="8" l="1"/>
  <c r="H15" i="8" l="1"/>
  <c r="A2" i="8"/>
  <c r="D15" i="8" l="1"/>
  <c r="R15" i="8"/>
  <c r="S15" i="8"/>
  <c r="M15" i="8" l="1"/>
  <c r="C12" i="8" l="1"/>
  <c r="F12" i="8" s="1"/>
  <c r="P12" i="8" s="1"/>
  <c r="D10" i="1" l="1"/>
  <c r="L10" i="1" s="1"/>
  <c r="C8" i="8" l="1"/>
  <c r="F8" i="8" l="1"/>
  <c r="P8" i="8" s="1"/>
  <c r="D18" i="1" l="1"/>
  <c r="C14" i="8" l="1"/>
  <c r="F14" i="8" s="1"/>
  <c r="P14" i="8" s="1"/>
  <c r="C10" i="8"/>
  <c r="T10" i="8" s="1"/>
  <c r="C9" i="8"/>
  <c r="F9" i="8" l="1"/>
  <c r="P9" i="8" s="1"/>
  <c r="V9" i="8" s="1"/>
  <c r="T9" i="8"/>
  <c r="T12" i="8" s="1"/>
  <c r="D16" i="1"/>
  <c r="D22" i="1" s="1"/>
  <c r="F10" i="8"/>
  <c r="P10" i="8" s="1"/>
  <c r="V10" i="8" s="1"/>
  <c r="C13" i="8" l="1"/>
  <c r="F13" i="8" s="1"/>
  <c r="P13" i="8" s="1"/>
  <c r="V12" i="8"/>
  <c r="V13" i="8" s="1"/>
  <c r="C15" i="8" l="1"/>
  <c r="F15" i="8" s="1"/>
  <c r="P15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seunggyun</author>
    <author>sekwang</author>
    <author>user</author>
  </authors>
  <commentList>
    <comment ref="B5" authorId="0" shapeId="0" xr:uid="{4264FF24-AE59-4B4E-82AA-6EDC3BA51D2D}">
      <text>
        <r>
          <rPr>
            <b/>
            <sz val="9"/>
            <color indexed="81"/>
            <rFont val="Tahoma"/>
            <family val="2"/>
          </rPr>
          <t>HSJ :</t>
        </r>
        <r>
          <rPr>
            <sz val="9"/>
            <color indexed="81"/>
            <rFont val="Tahoma"/>
            <family val="2"/>
          </rPr>
          <t xml:space="preserve">
CV. KERBAU LAUT
1,465.00 (11/20 onboard)</t>
        </r>
      </text>
    </comment>
    <comment ref="C5" authorId="0" shapeId="0" xr:uid="{73F1FFC9-833D-40B2-9828-0CC531E1B3AD}">
      <text>
        <r>
          <rPr>
            <b/>
            <sz val="9"/>
            <color indexed="81"/>
            <rFont val="Tahoma"/>
            <family val="2"/>
          </rPr>
          <t>HSJ :</t>
        </r>
        <r>
          <rPr>
            <sz val="9"/>
            <color indexed="81"/>
            <rFont val="Tahoma"/>
            <family val="2"/>
          </rPr>
          <t xml:space="preserve">
PT. PAHALA
1,468.40 (11/22 onboard)</t>
        </r>
      </text>
    </comment>
    <comment ref="D5" authorId="0" shapeId="0" xr:uid="{E8C66D37-7BA3-4A58-AF05-73C8316E086D}">
      <text>
        <r>
          <rPr>
            <b/>
            <sz val="9"/>
            <color indexed="81"/>
            <rFont val="Tahoma"/>
            <family val="2"/>
          </rPr>
          <t>HSJ :</t>
        </r>
        <r>
          <rPr>
            <sz val="9"/>
            <color indexed="81"/>
            <rFont val="Tahoma"/>
            <family val="2"/>
          </rPr>
          <t xml:space="preserve">
PT. PAHALA
1,468.40 (11/22 onboard)</t>
        </r>
      </text>
    </comment>
    <comment ref="E5" authorId="0" shapeId="0" xr:uid="{C0C8871A-8509-4949-AB84-37ED73D3866E}">
      <text>
        <r>
          <rPr>
            <b/>
            <sz val="9"/>
            <color indexed="81"/>
            <rFont val="Tahoma"/>
            <family val="2"/>
          </rPr>
          <t>HSJ :</t>
        </r>
        <r>
          <rPr>
            <sz val="9"/>
            <color indexed="81"/>
            <rFont val="Tahoma"/>
            <family val="2"/>
          </rPr>
          <t xml:space="preserve">
CV. KERBAU LAUT
1,434.90 (01/03 onboard)</t>
        </r>
      </text>
    </comment>
    <comment ref="F5" authorId="0" shapeId="0" xr:uid="{C1FC6555-5E2A-4BA6-BC94-550BF7EB8AEA}">
      <text>
        <r>
          <rPr>
            <b/>
            <sz val="9"/>
            <color indexed="81"/>
            <rFont val="Tahoma"/>
            <family val="2"/>
          </rPr>
          <t>HSJ :</t>
        </r>
        <r>
          <rPr>
            <sz val="9"/>
            <color indexed="81"/>
            <rFont val="Tahoma"/>
            <family val="2"/>
          </rPr>
          <t xml:space="preserve">
PT. PAHALA
1,443.40 (02/14 onboard)</t>
        </r>
      </text>
    </comment>
    <comment ref="G5" authorId="0" shapeId="0" xr:uid="{B6CCF0AA-A989-41C4-B1E1-AED7B4536464}">
      <text>
        <r>
          <rPr>
            <b/>
            <sz val="9"/>
            <color indexed="81"/>
            <rFont val="Tahoma"/>
            <family val="2"/>
          </rPr>
          <t>HSJ :</t>
        </r>
        <r>
          <rPr>
            <sz val="9"/>
            <color indexed="81"/>
            <rFont val="Tahoma"/>
            <family val="2"/>
          </rPr>
          <t xml:space="preserve">
PT. PAHALA
1,506.80 (04/08 onboard)</t>
        </r>
      </text>
    </comment>
    <comment ref="H5" authorId="0" shapeId="0" xr:uid="{4ADD4011-B7DD-479A-9AAC-7C35890C262C}">
      <text>
        <r>
          <rPr>
            <b/>
            <sz val="9"/>
            <color indexed="81"/>
            <rFont val="Tahoma"/>
            <family val="2"/>
          </rPr>
          <t>HSJ :</t>
        </r>
        <r>
          <rPr>
            <sz val="9"/>
            <color indexed="81"/>
            <rFont val="Tahoma"/>
            <family val="2"/>
          </rPr>
          <t xml:space="preserve">
PT. PAHALA
1,479.80 (04/13 onboard)</t>
        </r>
      </text>
    </comment>
    <comment ref="B18" authorId="0" shapeId="0" xr:uid="{920E2CF2-0596-4BC2-AE00-B7FF6B582A12}">
      <text>
        <r>
          <rPr>
            <b/>
            <sz val="9"/>
            <color indexed="81"/>
            <rFont val="Tahoma"/>
            <family val="2"/>
          </rPr>
          <t>seunggyun:</t>
        </r>
        <r>
          <rPr>
            <sz val="9"/>
            <color indexed="81"/>
            <rFont val="Tahoma"/>
            <family val="2"/>
          </rPr>
          <t xml:space="preserve">
PT. PAHALA
1,388.60</t>
        </r>
      </text>
    </comment>
    <comment ref="C18" authorId="0" shapeId="0" xr:uid="{A07CC9B4-A758-4498-AE0C-540E48B296B6}">
      <text>
        <r>
          <rPr>
            <b/>
            <sz val="9"/>
            <color indexed="81"/>
            <rFont val="Tahoma"/>
            <family val="2"/>
          </rPr>
          <t>HSJ:</t>
        </r>
        <r>
          <rPr>
            <sz val="9"/>
            <color indexed="81"/>
            <rFont val="Tahoma"/>
            <family val="2"/>
          </rPr>
          <t xml:space="preserve">
PT. PAHALA
1,430.10(10/23)</t>
        </r>
      </text>
    </comment>
    <comment ref="D18" authorId="0" shapeId="0" xr:uid="{210B1EFD-F2E8-4832-BF89-0C997AB18E6C}">
      <text>
        <r>
          <rPr>
            <b/>
            <sz val="9"/>
            <color indexed="81"/>
            <rFont val="Tahoma"/>
            <family val="2"/>
          </rPr>
          <t>HSJ:</t>
        </r>
        <r>
          <rPr>
            <sz val="9"/>
            <color indexed="81"/>
            <rFont val="Tahoma"/>
            <family val="2"/>
          </rPr>
          <t xml:space="preserve">
PT. PAHALA
1,430.10(10/23)</t>
        </r>
      </text>
    </comment>
    <comment ref="E18" authorId="0" shapeId="0" xr:uid="{63D61FA4-8125-4DF8-A799-AB6D5CBF092D}">
      <text>
        <r>
          <rPr>
            <b/>
            <sz val="9"/>
            <color indexed="81"/>
            <rFont val="Tahoma"/>
            <family val="2"/>
          </rPr>
          <t>HSJ:</t>
        </r>
        <r>
          <rPr>
            <sz val="9"/>
            <color indexed="81"/>
            <rFont val="Tahoma"/>
            <family val="2"/>
          </rPr>
          <t xml:space="preserve">
PT. GERBANG
1,447.00(11/06)</t>
        </r>
      </text>
    </comment>
    <comment ref="F18" authorId="0" shapeId="0" xr:uid="{005F726E-E7D3-4604-A159-05B248AC9557}">
      <text>
        <r>
          <rPr>
            <b/>
            <sz val="9"/>
            <color indexed="81"/>
            <rFont val="Tahoma"/>
            <family val="2"/>
          </rPr>
          <t>HSJ:</t>
        </r>
        <r>
          <rPr>
            <sz val="9"/>
            <color indexed="81"/>
            <rFont val="Tahoma"/>
            <family val="2"/>
          </rPr>
          <t xml:space="preserve">
PT. GERBANG
1,464.30(02/10)</t>
        </r>
      </text>
    </comment>
    <comment ref="G18" authorId="0" shapeId="0" xr:uid="{29262821-7042-4E73-A737-5A7A584C1539}">
      <text>
        <r>
          <rPr>
            <b/>
            <sz val="9"/>
            <color indexed="81"/>
            <rFont val="Tahoma"/>
            <family val="2"/>
          </rPr>
          <t>HSJ:</t>
        </r>
        <r>
          <rPr>
            <sz val="9"/>
            <color indexed="81"/>
            <rFont val="Tahoma"/>
            <family val="2"/>
          </rPr>
          <t xml:space="preserve">
PT. PAHALA
1,443.40(02/14)</t>
        </r>
      </text>
    </comment>
    <comment ref="B31" authorId="0" shapeId="0" xr:uid="{58DB6CDB-ACDA-498A-AB3F-276F083E5B33}">
      <text>
        <r>
          <rPr>
            <b/>
            <sz val="9"/>
            <color indexed="81"/>
            <rFont val="Tahoma"/>
            <family val="2"/>
          </rPr>
          <t>seunggyun: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해성</t>
        </r>
        <r>
          <rPr>
            <sz val="9"/>
            <color indexed="81"/>
            <rFont val="Tahoma"/>
            <family val="2"/>
          </rPr>
          <t xml:space="preserve"> 1420.60</t>
        </r>
      </text>
    </comment>
    <comment ref="B40" authorId="0" shapeId="0" xr:uid="{219A11CA-482C-4E17-A494-8C68126E0962}">
      <text>
        <r>
          <rPr>
            <b/>
            <sz val="9"/>
            <color indexed="81"/>
            <rFont val="Tahoma"/>
            <family val="2"/>
          </rPr>
          <t>seunggyun:</t>
        </r>
        <r>
          <rPr>
            <sz val="9"/>
            <color indexed="81"/>
            <rFont val="Tahoma"/>
            <family val="2"/>
          </rPr>
          <t xml:space="preserve">
23.1.11 </t>
        </r>
        <r>
          <rPr>
            <sz val="9"/>
            <color indexed="81"/>
            <rFont val="돋움"/>
            <family val="3"/>
            <charset val="129"/>
          </rPr>
          <t>구입
적용환율</t>
        </r>
        <r>
          <rPr>
            <sz val="9"/>
            <color indexed="81"/>
            <rFont val="Tahoma"/>
            <family val="2"/>
          </rPr>
          <t>: \1240.80</t>
        </r>
      </text>
    </comment>
    <comment ref="B49" authorId="1" shapeId="0" xr:uid="{C2735F4F-5317-4BF0-A377-4A22590BB9C2}">
      <text>
        <r>
          <rPr>
            <b/>
            <sz val="9"/>
            <color indexed="81"/>
            <rFont val="Tahoma"/>
            <family val="2"/>
          </rPr>
          <t>sekwang: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에프앤씨글로벌
</t>
        </r>
        <r>
          <rPr>
            <sz val="9"/>
            <color indexed="81"/>
            <rFont val="Tahoma"/>
            <family val="2"/>
          </rPr>
          <t xml:space="preserve"> \1,375.90
</t>
        </r>
        <r>
          <rPr>
            <sz val="9"/>
            <color indexed="81"/>
            <rFont val="돋움"/>
            <family val="3"/>
            <charset val="129"/>
          </rPr>
          <t>당사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구입일</t>
        </r>
        <r>
          <rPr>
            <sz val="9"/>
            <color indexed="81"/>
            <rFont val="Tahoma"/>
            <family val="2"/>
          </rPr>
          <t xml:space="preserve"> 
24.04.29 
(5/1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냉장료</t>
        </r>
        <r>
          <rPr>
            <sz val="9"/>
            <color indexed="81"/>
            <rFont val="Tahoma"/>
            <family val="2"/>
          </rPr>
          <t>)</t>
        </r>
      </text>
    </comment>
    <comment ref="B59" authorId="1" shapeId="0" xr:uid="{6D1C2D0E-FA08-4148-BA89-FD157AA2727A}">
      <text>
        <r>
          <rPr>
            <b/>
            <sz val="9"/>
            <color indexed="81"/>
            <rFont val="Tahoma"/>
            <family val="2"/>
          </rPr>
          <t>HSJ: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에프앤씨글로벌
</t>
        </r>
        <r>
          <rPr>
            <sz val="9"/>
            <color indexed="81"/>
            <rFont val="Tahoma"/>
            <family val="2"/>
          </rPr>
          <t xml:space="preserve"> \1,469.70
26.01.16 (</t>
        </r>
        <r>
          <rPr>
            <sz val="9"/>
            <color indexed="81"/>
            <rFont val="돋움"/>
            <family val="3"/>
            <charset val="129"/>
          </rPr>
          <t>당사구입</t>
        </r>
        <r>
          <rPr>
            <sz val="9"/>
            <color indexed="81"/>
            <rFont val="Tahoma"/>
            <family val="2"/>
          </rPr>
          <t>)
25.10.28 (</t>
        </r>
        <r>
          <rPr>
            <sz val="9"/>
            <color indexed="81"/>
            <rFont val="돋움"/>
            <family val="3"/>
            <charset val="129"/>
          </rPr>
          <t>최초입고</t>
        </r>
        <r>
          <rPr>
            <sz val="9"/>
            <color indexed="81"/>
            <rFont val="Tahoma"/>
            <family val="2"/>
          </rPr>
          <t>)
(01/19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냉장료</t>
        </r>
        <r>
          <rPr>
            <sz val="9"/>
            <color indexed="81"/>
            <rFont val="Tahoma"/>
            <family val="2"/>
          </rPr>
          <t>)</t>
        </r>
      </text>
    </comment>
    <comment ref="B87" authorId="2" shapeId="0" xr:uid="{2505971F-324F-4400-A725-F7187597AB4E}">
      <text>
        <r>
          <rPr>
            <b/>
            <sz val="9"/>
            <color indexed="81"/>
            <rFont val="Tahoma"/>
            <family val="2"/>
          </rPr>
          <t xml:space="preserve">HSJ : 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사입일</t>
        </r>
        <r>
          <rPr>
            <sz val="9"/>
            <color indexed="81"/>
            <rFont val="Tahoma"/>
            <family val="2"/>
          </rPr>
          <t xml:space="preserve"> '26.01.16</t>
        </r>
      </text>
    </comment>
    <comment ref="C87" authorId="2" shapeId="0" xr:uid="{088A83B2-01F6-4CF9-8F5E-3C6B3EE8987D}">
      <text>
        <r>
          <rPr>
            <b/>
            <sz val="9"/>
            <color indexed="81"/>
            <rFont val="Tahoma"/>
            <family val="2"/>
          </rPr>
          <t xml:space="preserve">HSJ : 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사입일</t>
        </r>
        <r>
          <rPr>
            <sz val="9"/>
            <color indexed="81"/>
            <rFont val="Tahoma"/>
            <family val="2"/>
          </rPr>
          <t xml:space="preserve"> '26.04.15</t>
        </r>
      </text>
    </comment>
  </commentList>
</comments>
</file>

<file path=xl/sharedStrings.xml><?xml version="1.0" encoding="utf-8"?>
<sst xmlns="http://schemas.openxmlformats.org/spreadsheetml/2006/main" count="257" uniqueCount="170">
  <si>
    <t>합       계</t>
    <phoneticPr fontId="2" type="noConversion"/>
  </si>
  <si>
    <t>56-60미</t>
    <phoneticPr fontId="2" type="noConversion"/>
  </si>
  <si>
    <t>소        계</t>
    <phoneticPr fontId="2" type="noConversion"/>
  </si>
  <si>
    <t>2S</t>
    <phoneticPr fontId="2" type="noConversion"/>
  </si>
  <si>
    <t>동영콜드</t>
    <phoneticPr fontId="2" type="noConversion"/>
  </si>
  <si>
    <t>/ 10KG</t>
    <phoneticPr fontId="2" type="noConversion"/>
  </si>
  <si>
    <t>인니산 밀크피쉬</t>
    <phoneticPr fontId="2" type="noConversion"/>
  </si>
  <si>
    <t>70-75미</t>
    <phoneticPr fontId="2" type="noConversion"/>
  </si>
  <si>
    <t>65미</t>
    <phoneticPr fontId="2" type="noConversion"/>
  </si>
  <si>
    <t>62-65미</t>
    <phoneticPr fontId="2" type="noConversion"/>
  </si>
  <si>
    <t>76-80미</t>
    <phoneticPr fontId="2" type="noConversion"/>
  </si>
  <si>
    <t>인니산 무로아지</t>
    <phoneticPr fontId="2" type="noConversion"/>
  </si>
  <si>
    <t>비       고</t>
    <phoneticPr fontId="2" type="noConversion"/>
  </si>
  <si>
    <t xml:space="preserve">보 관 창 고 </t>
    <phoneticPr fontId="2" type="noConversion"/>
  </si>
  <si>
    <t xml:space="preserve"> 단  가</t>
    <phoneticPr fontId="2" type="noConversion"/>
  </si>
  <si>
    <t>재고량</t>
    <phoneticPr fontId="2" type="noConversion"/>
  </si>
  <si>
    <t>BOX SIZE</t>
    <phoneticPr fontId="2" type="noConversion"/>
  </si>
  <si>
    <t>품       명</t>
    <phoneticPr fontId="2" type="noConversion"/>
  </si>
  <si>
    <t>S</t>
    <phoneticPr fontId="2" type="noConversion"/>
  </si>
  <si>
    <t>어종별 상세 재고량</t>
    <phoneticPr fontId="2" type="noConversion"/>
  </si>
  <si>
    <t>미수</t>
    <phoneticPr fontId="2" type="noConversion"/>
  </si>
  <si>
    <t>`19.11.21</t>
    <phoneticPr fontId="2" type="noConversion"/>
  </si>
  <si>
    <t>계</t>
    <phoneticPr fontId="2" type="noConversion"/>
  </si>
  <si>
    <t>`20.04.14</t>
    <phoneticPr fontId="2" type="noConversion"/>
  </si>
  <si>
    <t xml:space="preserve"> * 인니산 무로아지(10KG) 창고별 재고량 </t>
    <phoneticPr fontId="2" type="noConversion"/>
  </si>
  <si>
    <t>단가</t>
    <phoneticPr fontId="2" type="noConversion"/>
  </si>
  <si>
    <r>
      <t xml:space="preserve"> * 국내산 메가리(10KG) 창고별 재고량 - </t>
    </r>
    <r>
      <rPr>
        <b/>
        <u/>
        <sz val="10"/>
        <rFont val="맑은 고딕"/>
        <family val="3"/>
        <charset val="129"/>
      </rPr>
      <t>SAP 연안산 무로아지 등록</t>
    </r>
    <phoneticPr fontId="2" type="noConversion"/>
  </si>
  <si>
    <t>부산냉장(舊금한)</t>
    <phoneticPr fontId="2" type="noConversion"/>
  </si>
  <si>
    <t xml:space="preserve"> * 인니산 밀크피쉬(10KG) 창고별 재고량</t>
    <phoneticPr fontId="2" type="noConversion"/>
  </si>
  <si>
    <r>
      <t xml:space="preserve"> * 일본산 전어(10KG) 창고별 재고량 </t>
    </r>
    <r>
      <rPr>
        <b/>
        <sz val="11"/>
        <color indexed="8"/>
        <rFont val="맑은 고딕"/>
        <family val="3"/>
        <charset val="129"/>
      </rPr>
      <t/>
    </r>
    <phoneticPr fontId="2" type="noConversion"/>
  </si>
  <si>
    <t>감천고려 3</t>
  </si>
  <si>
    <t>TOTAL :</t>
    <phoneticPr fontId="2" type="noConversion"/>
  </si>
  <si>
    <t>90-120미</t>
    <phoneticPr fontId="2" type="noConversion"/>
  </si>
  <si>
    <t>사조물류1</t>
    <phoneticPr fontId="2" type="noConversion"/>
  </si>
  <si>
    <t>`20.09.01</t>
    <phoneticPr fontId="2" type="noConversion"/>
  </si>
  <si>
    <t>청호냉동</t>
    <phoneticPr fontId="2" type="noConversion"/>
  </si>
  <si>
    <t>`21.02.01</t>
    <phoneticPr fontId="2" type="noConversion"/>
  </si>
  <si>
    <r>
      <t xml:space="preserve"> * 아르헨티나산 오징어(</t>
    </r>
    <r>
      <rPr>
        <b/>
        <sz val="11"/>
        <color theme="7" tint="0.39997558519241921"/>
        <rFont val="맑은 고딕"/>
        <family val="3"/>
        <charset val="129"/>
      </rPr>
      <t>15.93</t>
    </r>
    <r>
      <rPr>
        <b/>
        <sz val="11"/>
        <color indexed="8"/>
        <rFont val="맑은 고딕"/>
        <family val="3"/>
        <charset val="129"/>
      </rPr>
      <t xml:space="preserve">KG) 창고별 재고량 - </t>
    </r>
    <r>
      <rPr>
        <b/>
        <sz val="9"/>
        <color indexed="8"/>
        <rFont val="맑은 고딕"/>
        <family val="3"/>
        <charset val="129"/>
      </rPr>
      <t>SAP 포크산 오징어 18.5KG 등록</t>
    </r>
    <phoneticPr fontId="2" type="noConversion"/>
  </si>
  <si>
    <t>285~330미</t>
    <phoneticPr fontId="2" type="noConversion"/>
  </si>
  <si>
    <r>
      <t xml:space="preserve"> * 러시아산 청어(</t>
    </r>
    <r>
      <rPr>
        <b/>
        <sz val="11"/>
        <color rgb="FFFF0000"/>
        <rFont val="맑은 고딕"/>
        <family val="3"/>
        <charset val="129"/>
        <scheme val="minor"/>
      </rPr>
      <t>20</t>
    </r>
    <r>
      <rPr>
        <b/>
        <sz val="11"/>
        <color theme="1"/>
        <rFont val="맑은 고딕"/>
        <family val="3"/>
        <charset val="129"/>
        <scheme val="minor"/>
      </rPr>
      <t>KG) 창고별 재고량</t>
    </r>
    <phoneticPr fontId="2" type="noConversion"/>
  </si>
  <si>
    <t>합       계</t>
    <phoneticPr fontId="2" type="noConversion"/>
  </si>
  <si>
    <t>S</t>
    <phoneticPr fontId="2" type="noConversion"/>
  </si>
  <si>
    <r>
      <t>러시아산 청어
(</t>
    </r>
    <r>
      <rPr>
        <b/>
        <sz val="10"/>
        <color indexed="10"/>
        <rFont val="맑은 고딕"/>
        <family val="3"/>
        <charset val="129"/>
      </rPr>
      <t>20</t>
    </r>
    <r>
      <rPr>
        <b/>
        <sz val="10"/>
        <color indexed="8"/>
        <rFont val="맑은 고딕"/>
        <family val="3"/>
        <charset val="129"/>
      </rPr>
      <t>KG)</t>
    </r>
    <phoneticPr fontId="2" type="noConversion"/>
  </si>
  <si>
    <t>인니산 밀크피쉬
(10KG)</t>
    <phoneticPr fontId="2" type="noConversion"/>
  </si>
  <si>
    <t>125-135미</t>
    <phoneticPr fontId="2" type="noConversion"/>
  </si>
  <si>
    <t>285-330미</t>
    <phoneticPr fontId="2" type="noConversion"/>
  </si>
  <si>
    <r>
      <t>러시아산 정어리
(</t>
    </r>
    <r>
      <rPr>
        <b/>
        <sz val="10"/>
        <color rgb="FFFF0000"/>
        <rFont val="맑은 고딕"/>
        <family val="3"/>
        <charset val="129"/>
        <scheme val="minor"/>
      </rPr>
      <t>30</t>
    </r>
    <r>
      <rPr>
        <b/>
        <sz val="10"/>
        <color indexed="8"/>
        <rFont val="맑은 고딕"/>
        <family val="3"/>
        <charset val="129"/>
      </rPr>
      <t>KG)</t>
    </r>
    <phoneticPr fontId="2" type="noConversion"/>
  </si>
  <si>
    <t>인니산 무로아지
(10KG)</t>
    <phoneticPr fontId="2" type="noConversion"/>
  </si>
  <si>
    <t>박성대</t>
    <phoneticPr fontId="2" type="noConversion"/>
  </si>
  <si>
    <t>이현철</t>
    <phoneticPr fontId="2" type="noConversion"/>
  </si>
  <si>
    <t>선장명</t>
    <phoneticPr fontId="2" type="noConversion"/>
  </si>
  <si>
    <t>파나록스 506</t>
    <phoneticPr fontId="2" type="noConversion"/>
  </si>
  <si>
    <t>신영 52호</t>
    <phoneticPr fontId="2" type="noConversion"/>
  </si>
  <si>
    <t>소계</t>
    <phoneticPr fontId="2" type="noConversion"/>
  </si>
  <si>
    <t>`21.6월/탁송</t>
    <phoneticPr fontId="2" type="noConversion"/>
  </si>
  <si>
    <t>선적 후
예상 잔량</t>
    <phoneticPr fontId="2" type="noConversion"/>
  </si>
  <si>
    <t>사입
예정량</t>
    <phoneticPr fontId="2" type="noConversion"/>
  </si>
  <si>
    <t>사입 후
예상 합계</t>
    <phoneticPr fontId="2" type="noConversion"/>
  </si>
  <si>
    <t>현재고량</t>
    <phoneticPr fontId="2" type="noConversion"/>
  </si>
  <si>
    <t>SIZE</t>
    <phoneticPr fontId="2" type="noConversion"/>
  </si>
  <si>
    <t>품       명</t>
    <phoneticPr fontId="2" type="noConversion"/>
  </si>
  <si>
    <t>(단위 : C/S)</t>
    <phoneticPr fontId="2" type="noConversion"/>
  </si>
  <si>
    <t>BAIT 재고 및 선적 계획(안)</t>
    <phoneticPr fontId="2" type="noConversion"/>
  </si>
  <si>
    <t>91-100미</t>
    <phoneticPr fontId="2" type="noConversion"/>
  </si>
  <si>
    <t>51-60미</t>
    <phoneticPr fontId="2" type="noConversion"/>
  </si>
  <si>
    <t>51-60</t>
    <phoneticPr fontId="2" type="noConversion"/>
  </si>
  <si>
    <t>61-70</t>
    <phoneticPr fontId="2" type="noConversion"/>
  </si>
  <si>
    <t>81-90</t>
    <phoneticPr fontId="2" type="noConversion"/>
  </si>
  <si>
    <t>91-100</t>
    <phoneticPr fontId="2" type="noConversion"/>
  </si>
  <si>
    <t>선적 및 탁송 예상 수량</t>
    <phoneticPr fontId="2" type="noConversion"/>
  </si>
  <si>
    <t>51-100미</t>
    <phoneticPr fontId="2" type="noConversion"/>
  </si>
  <si>
    <t>61-70미</t>
    <phoneticPr fontId="2" type="noConversion"/>
  </si>
  <si>
    <t>71-80미</t>
    <phoneticPr fontId="2" type="noConversion"/>
  </si>
  <si>
    <t>81-90미</t>
    <phoneticPr fontId="2" type="noConversion"/>
  </si>
  <si>
    <r>
      <t>포크산 오징어
(</t>
    </r>
    <r>
      <rPr>
        <b/>
        <sz val="10"/>
        <color rgb="FFFF0000"/>
        <rFont val="맑은 고딕"/>
        <family val="3"/>
        <charset val="129"/>
        <scheme val="minor"/>
      </rPr>
      <t>20.5</t>
    </r>
    <r>
      <rPr>
        <b/>
        <sz val="10"/>
        <color theme="1"/>
        <rFont val="맑은 고딕"/>
        <family val="3"/>
        <charset val="129"/>
        <scheme val="minor"/>
      </rPr>
      <t>KG)</t>
    </r>
    <r>
      <rPr>
        <b/>
        <sz val="10"/>
        <color indexed="8"/>
        <rFont val="맑은 고딕"/>
        <family val="3"/>
        <charset val="129"/>
      </rPr>
      <t/>
    </r>
    <phoneticPr fontId="2" type="noConversion"/>
  </si>
  <si>
    <t>BL NO.</t>
    <phoneticPr fontId="2" type="noConversion"/>
  </si>
  <si>
    <t>71-80</t>
    <phoneticPr fontId="2" type="noConversion"/>
  </si>
  <si>
    <t>61-90미</t>
    <phoneticPr fontId="2" type="noConversion"/>
  </si>
  <si>
    <t>190-200미</t>
    <phoneticPr fontId="2" type="noConversion"/>
  </si>
  <si>
    <t>22.10.20</t>
    <phoneticPr fontId="2" type="noConversion"/>
  </si>
  <si>
    <r>
      <t xml:space="preserve"> * 러시아산 정어리(</t>
    </r>
    <r>
      <rPr>
        <b/>
        <sz val="11"/>
        <color indexed="10"/>
        <rFont val="맑은 고딕"/>
        <family val="3"/>
        <charset val="129"/>
      </rPr>
      <t>20.80</t>
    </r>
    <r>
      <rPr>
        <b/>
        <sz val="11"/>
        <rFont val="맑은 고딕"/>
        <family val="3"/>
        <charset val="129"/>
      </rPr>
      <t>KG) 창고별 재고량</t>
    </r>
    <phoneticPr fontId="2" type="noConversion"/>
  </si>
  <si>
    <r>
      <t>러시아산 정어리
(</t>
    </r>
    <r>
      <rPr>
        <b/>
        <sz val="10"/>
        <color rgb="FFFF0000"/>
        <rFont val="맑은 고딕"/>
        <family val="3"/>
        <charset val="129"/>
        <scheme val="minor"/>
      </rPr>
      <t>20.80</t>
    </r>
    <r>
      <rPr>
        <b/>
        <sz val="10"/>
        <color indexed="8"/>
        <rFont val="맑은 고딕"/>
        <family val="3"/>
        <charset val="129"/>
      </rPr>
      <t>KG)</t>
    </r>
    <phoneticPr fontId="2" type="noConversion"/>
  </si>
  <si>
    <t>220미</t>
    <phoneticPr fontId="2" type="noConversion"/>
  </si>
  <si>
    <r>
      <t>감천고려</t>
    </r>
    <r>
      <rPr>
        <b/>
        <sz val="9"/>
        <color rgb="FFFF0000"/>
        <rFont val="맑은 고딕"/>
        <family val="3"/>
        <charset val="129"/>
        <scheme val="minor"/>
      </rPr>
      <t>2</t>
    </r>
    <phoneticPr fontId="2" type="noConversion"/>
  </si>
  <si>
    <t>수입통관-분증</t>
    <phoneticPr fontId="2" type="noConversion"/>
  </si>
  <si>
    <t>10kg 환산</t>
    <phoneticPr fontId="2" type="noConversion"/>
  </si>
  <si>
    <t>인니산 무로아지
(10KG)</t>
  </si>
  <si>
    <t>러시아산 정어리
(30KG)</t>
  </si>
  <si>
    <t>러시아산 정어리
(20.80KG)</t>
  </si>
  <si>
    <t>포크산 오징어
(20.5KG)</t>
  </si>
  <si>
    <t>인니산 밀크피쉬
(10KG)</t>
  </si>
  <si>
    <t>러시아산 청어
(20KG)</t>
  </si>
  <si>
    <t>합 계</t>
    <phoneticPr fontId="2" type="noConversion"/>
  </si>
  <si>
    <t>동원산업㈜</t>
    <phoneticPr fontId="2" type="noConversion"/>
  </si>
  <si>
    <t>22.11.24</t>
    <phoneticPr fontId="2" type="noConversion"/>
  </si>
  <si>
    <t>23.20KG</t>
    <phoneticPr fontId="2" type="noConversion"/>
  </si>
  <si>
    <r>
      <t>러시아산 정어리
(</t>
    </r>
    <r>
      <rPr>
        <b/>
        <sz val="10"/>
        <color rgb="FFFF0000"/>
        <rFont val="맑은 고딕"/>
        <family val="3"/>
        <charset val="129"/>
        <scheme val="minor"/>
      </rPr>
      <t>23.20</t>
    </r>
    <r>
      <rPr>
        <b/>
        <sz val="10"/>
        <color indexed="8"/>
        <rFont val="맑은 고딕"/>
        <family val="3"/>
        <charset val="129"/>
      </rPr>
      <t>KG)</t>
    </r>
    <phoneticPr fontId="2" type="noConversion"/>
  </si>
  <si>
    <r>
      <t xml:space="preserve"> </t>
    </r>
    <r>
      <rPr>
        <b/>
        <sz val="11"/>
        <color indexed="13"/>
        <rFont val="맑은 고딕"/>
        <family val="3"/>
        <charset val="129"/>
      </rPr>
      <t>* 러시아산 정어리(</t>
    </r>
    <r>
      <rPr>
        <b/>
        <sz val="11"/>
        <color rgb="FFFF0000"/>
        <rFont val="맑은 고딕"/>
        <family val="3"/>
        <charset val="129"/>
      </rPr>
      <t>23.20</t>
    </r>
    <r>
      <rPr>
        <b/>
        <sz val="11"/>
        <color indexed="13"/>
        <rFont val="맑은 고딕"/>
        <family val="3"/>
        <charset val="129"/>
      </rPr>
      <t>KG) 창고별 재고량</t>
    </r>
    <r>
      <rPr>
        <b/>
        <sz val="11"/>
        <color indexed="9"/>
        <rFont val="맑은 고딕"/>
        <family val="3"/>
        <charset val="129"/>
      </rPr>
      <t/>
    </r>
    <phoneticPr fontId="2" type="noConversion"/>
  </si>
  <si>
    <t>㈜삼성냉장</t>
    <phoneticPr fontId="2" type="noConversion"/>
  </si>
  <si>
    <t>㈜동영콜드
프라자</t>
    <phoneticPr fontId="2" type="noConversion"/>
  </si>
  <si>
    <t>BAIT 재고현황</t>
    <phoneticPr fontId="2" type="noConversion"/>
  </si>
  <si>
    <t>외국 선박용품</t>
    <phoneticPr fontId="2" type="noConversion"/>
  </si>
  <si>
    <r>
      <t xml:space="preserve"> </t>
    </r>
    <r>
      <rPr>
        <b/>
        <sz val="11"/>
        <color indexed="13"/>
        <rFont val="맑은 고딕"/>
        <family val="3"/>
        <charset val="129"/>
      </rPr>
      <t>* 멕시코 정어리(</t>
    </r>
    <r>
      <rPr>
        <b/>
        <sz val="11"/>
        <color rgb="FFFF0000"/>
        <rFont val="맑은 고딕"/>
        <family val="3"/>
        <charset val="129"/>
      </rPr>
      <t>15</t>
    </r>
    <r>
      <rPr>
        <b/>
        <sz val="11"/>
        <color indexed="13"/>
        <rFont val="맑은 고딕"/>
        <family val="3"/>
        <charset val="129"/>
      </rPr>
      <t>KG) 창고별 재고량</t>
    </r>
    <r>
      <rPr>
        <b/>
        <sz val="11"/>
        <color indexed="9"/>
        <rFont val="맑은 고딕"/>
        <family val="3"/>
        <charset val="129"/>
      </rPr>
      <t/>
    </r>
    <phoneticPr fontId="2" type="noConversion"/>
  </si>
  <si>
    <t>15KG</t>
    <phoneticPr fontId="2" type="noConversion"/>
  </si>
  <si>
    <t>140-160미</t>
    <phoneticPr fontId="2" type="noConversion"/>
  </si>
  <si>
    <t>멕시코산 정어리</t>
    <phoneticPr fontId="2" type="noConversion"/>
  </si>
  <si>
    <t>`23.07.25</t>
    <phoneticPr fontId="2" type="noConversion"/>
  </si>
  <si>
    <t>SJLA23062001</t>
    <phoneticPr fontId="2" type="noConversion"/>
  </si>
  <si>
    <t>51-60미</t>
  </si>
  <si>
    <t>440410015711</t>
    <phoneticPr fontId="2" type="noConversion"/>
  </si>
  <si>
    <t>24.08.09</t>
    <phoneticPr fontId="2" type="noConversion"/>
  </si>
  <si>
    <t>110~130미</t>
    <phoneticPr fontId="2" type="noConversion"/>
  </si>
  <si>
    <r>
      <t xml:space="preserve"> * 중국산 오징어</t>
    </r>
    <r>
      <rPr>
        <b/>
        <sz val="11"/>
        <color theme="1"/>
        <rFont val="맑은 고딕"/>
        <family val="3"/>
        <charset val="129"/>
        <scheme val="minor"/>
      </rPr>
      <t xml:space="preserve"> 창고별 재고량</t>
    </r>
    <phoneticPr fontId="2" type="noConversion"/>
  </si>
  <si>
    <t>/ 15KG</t>
    <phoneticPr fontId="2" type="noConversion"/>
  </si>
  <si>
    <t>65-70미</t>
    <phoneticPr fontId="2" type="noConversion"/>
  </si>
  <si>
    <t>90-95미</t>
    <phoneticPr fontId="2" type="noConversion"/>
  </si>
  <si>
    <t>25.11.06</t>
    <phoneticPr fontId="2" type="noConversion"/>
  </si>
  <si>
    <t>440510022565</t>
    <phoneticPr fontId="2" type="noConversion"/>
  </si>
  <si>
    <t>440510022862</t>
    <phoneticPr fontId="2" type="noConversion"/>
  </si>
  <si>
    <t xml:space="preserve"> - 25.11.06 입고</t>
    <phoneticPr fontId="2" type="noConversion"/>
  </si>
  <si>
    <t>동원냉장</t>
    <phoneticPr fontId="2" type="noConversion"/>
  </si>
  <si>
    <t>110-130미</t>
    <phoneticPr fontId="2" type="noConversion"/>
  </si>
  <si>
    <t>동원산업㈜
부산냉장센터</t>
    <phoneticPr fontId="2" type="noConversion"/>
  </si>
  <si>
    <t>$14.90 ~
$15.50</t>
    <phoneticPr fontId="2" type="noConversion"/>
  </si>
  <si>
    <t>25.11.20</t>
    <phoneticPr fontId="2" type="noConversion"/>
  </si>
  <si>
    <t>ARM0419282</t>
    <phoneticPr fontId="2" type="noConversion"/>
  </si>
  <si>
    <t>삼성냉장</t>
    <phoneticPr fontId="2" type="noConversion"/>
  </si>
  <si>
    <t>25.12.05</t>
    <phoneticPr fontId="2" type="noConversion"/>
  </si>
  <si>
    <t>ARM0421601A</t>
    <phoneticPr fontId="2" type="noConversion"/>
  </si>
  <si>
    <t>25.12.08</t>
    <phoneticPr fontId="2" type="noConversion"/>
  </si>
  <si>
    <t>440510025061</t>
    <phoneticPr fontId="2" type="noConversion"/>
  </si>
  <si>
    <t>440510024897</t>
    <phoneticPr fontId="2" type="noConversion"/>
  </si>
  <si>
    <t>25.12.09</t>
    <phoneticPr fontId="2" type="noConversion"/>
  </si>
  <si>
    <t>26.01.13</t>
    <phoneticPr fontId="2" type="noConversion"/>
  </si>
  <si>
    <t>HDMUJKTA34257700</t>
    <phoneticPr fontId="2" type="noConversion"/>
  </si>
  <si>
    <t>`25.10.28</t>
    <phoneticPr fontId="2" type="noConversion"/>
  </si>
  <si>
    <t>COSU6429415951</t>
    <phoneticPr fontId="2" type="noConversion"/>
  </si>
  <si>
    <t>보성냉장</t>
    <phoneticPr fontId="2" type="noConversion"/>
  </si>
  <si>
    <t>120미 내외</t>
    <phoneticPr fontId="2" type="noConversion"/>
  </si>
  <si>
    <t>/ 20KG</t>
    <phoneticPr fontId="2" type="noConversion"/>
  </si>
  <si>
    <t>보성냉장㈜</t>
    <phoneticPr fontId="2" type="noConversion"/>
  </si>
  <si>
    <t>포크산 오징어</t>
    <phoneticPr fontId="2" type="noConversion"/>
  </si>
  <si>
    <t xml:space="preserve"> - 26.01.16 사입 (25.04.01 입고)</t>
    <phoneticPr fontId="2" type="noConversion"/>
  </si>
  <si>
    <t>`25.04.01</t>
    <phoneticPr fontId="2" type="noConversion"/>
  </si>
  <si>
    <t xml:space="preserve"> - 24.08.09 / 25.11.06 입고</t>
    <phoneticPr fontId="2" type="noConversion"/>
  </si>
  <si>
    <t xml:space="preserve"> - 26.01.16 사입 (25.10.28 입고)</t>
    <phoneticPr fontId="2" type="noConversion"/>
  </si>
  <si>
    <t>$18.00</t>
    <phoneticPr fontId="2" type="noConversion"/>
  </si>
  <si>
    <t>26.03.03</t>
    <phoneticPr fontId="2" type="noConversion"/>
  </si>
  <si>
    <t>440610002207</t>
    <phoneticPr fontId="2" type="noConversion"/>
  </si>
  <si>
    <t>ARM0432177</t>
    <phoneticPr fontId="2" type="noConversion"/>
  </si>
  <si>
    <t>440610002191</t>
    <phoneticPr fontId="2" type="noConversion"/>
  </si>
  <si>
    <t xml:space="preserve"> - 25.11.20 / 26.03.03 입고</t>
    <phoneticPr fontId="2" type="noConversion"/>
  </si>
  <si>
    <t xml:space="preserve"> - 25.11.06 / 26.03.03 입고</t>
    <phoneticPr fontId="2" type="noConversion"/>
  </si>
  <si>
    <t>$19.20 ~
$20.50</t>
    <phoneticPr fontId="2" type="noConversion"/>
  </si>
  <si>
    <t>PAHALA(2)</t>
    <phoneticPr fontId="2" type="noConversion"/>
  </si>
  <si>
    <t>KERBAU(2)</t>
    <phoneticPr fontId="2" type="noConversion"/>
  </si>
  <si>
    <t>입고 예정물량 (04/14 사입보고 件)</t>
    <phoneticPr fontId="2" type="noConversion"/>
  </si>
  <si>
    <t>PAHALA(1)</t>
    <phoneticPr fontId="2" type="noConversion"/>
  </si>
  <si>
    <t>한일냉장㈜
2공장</t>
    <phoneticPr fontId="2" type="noConversion"/>
  </si>
  <si>
    <r>
      <t xml:space="preserve"> * 포크산 오징어(</t>
    </r>
    <r>
      <rPr>
        <b/>
        <sz val="11"/>
        <color theme="0"/>
        <rFont val="맑은 고딕"/>
        <family val="3"/>
        <charset val="129"/>
        <scheme val="minor"/>
      </rPr>
      <t>20</t>
    </r>
    <r>
      <rPr>
        <b/>
        <sz val="11"/>
        <color theme="1"/>
        <rFont val="맑은 고딕"/>
        <family val="3"/>
        <charset val="129"/>
        <scheme val="minor"/>
      </rPr>
      <t>KG) 창고별 재고량 -</t>
    </r>
    <r>
      <rPr>
        <b/>
        <sz val="9"/>
        <color indexed="8"/>
        <rFont val="맑은 고딕"/>
        <family val="3"/>
        <charset val="129"/>
      </rPr>
      <t>SAP 포크산 오징어 20KG 등록 (3110)</t>
    </r>
    <phoneticPr fontId="2" type="noConversion"/>
  </si>
  <si>
    <t>한일냉장 2공장</t>
    <phoneticPr fontId="2" type="noConversion"/>
  </si>
  <si>
    <t xml:space="preserve"> - 26.04.15 사입 (25.04.01 입고)</t>
    <phoneticPr fontId="2" type="noConversion"/>
  </si>
  <si>
    <t>440610004928</t>
    <phoneticPr fontId="2" type="noConversion"/>
  </si>
  <si>
    <t>26.04.23</t>
    <phoneticPr fontId="2" type="noConversion"/>
  </si>
  <si>
    <t xml:space="preserve"> - 26.03.03 / 26.04.23 입고</t>
    <phoneticPr fontId="2" type="noConversion"/>
  </si>
  <si>
    <t>(2026. 04. 27. 기준)</t>
    <phoneticPr fontId="2" type="noConversion"/>
  </si>
  <si>
    <t xml:space="preserve"> - 25.12.05 / 25.12.08 / 25.12.09 / 26.01.13 /
   26.03.03 / 26.04.23 / 26.04.27 입고</t>
    <phoneticPr fontId="2" type="noConversion"/>
  </si>
  <si>
    <t>26.04.27</t>
    <phoneticPr fontId="2" type="noConversion"/>
  </si>
  <si>
    <t>ARM0440967</t>
    <phoneticPr fontId="2" type="noConversion"/>
  </si>
  <si>
    <t>입고 예정물량 (01/12 사입보고 件)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</si>
</sst>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26" formatCode="\$#,##0.00_);[Red]\(\$#,##0.00\)"/>
    <numFmt numFmtId="176" formatCode="#,##0_);[Red]\(#,##0\)"/>
    <numFmt numFmtId="177" formatCode="&quot;₩&quot;#,##0"/>
    <numFmt numFmtId="178" formatCode="\$#,##0.00"/>
    <numFmt numFmtId="179" formatCode="_-* #,##0_-;\(\-\)\ * #,##0_-;_-* &quot;-&quot;_-;_-@_-"/>
    <numFmt numFmtId="180" formatCode="mm&quot;월&quot;\ dd&quot;일&quot;"/>
    <numFmt numFmtId="181" formatCode="_-\$* #,##0.00_ ;_-\$* \-#,##0.00\ ;_-\$* &quot;-&quot;??_ ;_-@_ "/>
    <numFmt numFmtId="182" formatCode="\(#,##0\)"/>
    <numFmt numFmtId="183" formatCode="#,##0;[Red]\-#,##0\ "/>
    <numFmt numFmtId="184" formatCode="_-* #,##0.0_-;\-* #,##0.0_-;_-* &quot;-&quot;?_-;_-@_-"/>
  </numFmts>
  <fonts count="72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2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3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b/>
      <u/>
      <sz val="18"/>
      <color theme="1"/>
      <name val="맑은 고딕"/>
      <family val="3"/>
      <charset val="129"/>
    </font>
    <font>
      <b/>
      <u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u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1" tint="4.9989318521683403E-2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  <scheme val="minor"/>
    </font>
    <font>
      <b/>
      <u/>
      <sz val="1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indexed="1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color theme="0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  <scheme val="minor"/>
    </font>
    <font>
      <sz val="10"/>
      <color theme="0" tint="-4.9989318521683403E-2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b/>
      <sz val="11"/>
      <color theme="7" tint="0.3999755851924192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8"/>
      <color rgb="FF0000FF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2"/>
      <name val="맑은 고딕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8C888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1F5167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54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thick">
        <color indexed="64"/>
      </left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70">
    <xf numFmtId="0" fontId="0" fillId="0" borderId="0" xfId="0"/>
    <xf numFmtId="41" fontId="3" fillId="0" borderId="0" xfId="1" applyFont="1" applyAlignment="1">
      <alignment vertical="center"/>
    </xf>
    <xf numFmtId="41" fontId="4" fillId="0" borderId="0" xfId="1" applyFont="1" applyAlignment="1">
      <alignment vertical="center"/>
    </xf>
    <xf numFmtId="0" fontId="5" fillId="0" borderId="1" xfId="1" applyNumberFormat="1" applyFont="1" applyBorder="1" applyAlignment="1">
      <alignment horizontal="left" vertical="center"/>
    </xf>
    <xf numFmtId="3" fontId="6" fillId="0" borderId="2" xfId="1" applyNumberFormat="1" applyFont="1" applyBorder="1" applyAlignment="1">
      <alignment horizontal="center" vertical="center"/>
    </xf>
    <xf numFmtId="176" fontId="7" fillId="0" borderId="2" xfId="1" applyNumberFormat="1" applyFont="1" applyBorder="1" applyAlignment="1">
      <alignment vertical="center"/>
    </xf>
    <xf numFmtId="41" fontId="8" fillId="0" borderId="10" xfId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left" vertical="center"/>
    </xf>
    <xf numFmtId="3" fontId="12" fillId="0" borderId="13" xfId="1" applyNumberFormat="1" applyFont="1" applyBorder="1" applyAlignment="1">
      <alignment horizontal="center" vertical="center"/>
    </xf>
    <xf numFmtId="41" fontId="12" fillId="0" borderId="13" xfId="1" applyFont="1" applyBorder="1" applyAlignment="1">
      <alignment horizontal="center" vertical="center"/>
    </xf>
    <xf numFmtId="0" fontId="8" fillId="0" borderId="16" xfId="1" applyNumberFormat="1" applyFont="1" applyBorder="1" applyAlignment="1">
      <alignment vertical="center" wrapText="1"/>
    </xf>
    <xf numFmtId="41" fontId="8" fillId="0" borderId="22" xfId="1" applyFont="1" applyBorder="1" applyAlignment="1">
      <alignment horizontal="center" vertical="center"/>
    </xf>
    <xf numFmtId="41" fontId="8" fillId="0" borderId="30" xfId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41" fontId="14" fillId="2" borderId="36" xfId="1" applyFont="1" applyFill="1" applyBorder="1" applyAlignment="1">
      <alignment horizontal="center" vertical="center"/>
    </xf>
    <xf numFmtId="41" fontId="14" fillId="2" borderId="25" xfId="1" applyFont="1" applyFill="1" applyBorder="1" applyAlignment="1">
      <alignment horizontal="center" vertical="center" wrapText="1"/>
    </xf>
    <xf numFmtId="41" fontId="14" fillId="2" borderId="27" xfId="1" applyFont="1" applyFill="1" applyBorder="1" applyAlignment="1">
      <alignment horizontal="center" vertical="center"/>
    </xf>
    <xf numFmtId="41" fontId="14" fillId="2" borderId="26" xfId="1" applyFont="1" applyFill="1" applyBorder="1" applyAlignment="1">
      <alignment horizontal="center" vertical="center" shrinkToFit="1"/>
    </xf>
    <xf numFmtId="41" fontId="14" fillId="2" borderId="28" xfId="1" applyFont="1" applyFill="1" applyBorder="1" applyAlignment="1">
      <alignment horizontal="center" vertical="center"/>
    </xf>
    <xf numFmtId="41" fontId="10" fillId="0" borderId="0" xfId="1" applyFont="1" applyAlignment="1">
      <alignment horizontal="right" vertical="center"/>
    </xf>
    <xf numFmtId="41" fontId="7" fillId="0" borderId="4" xfId="1" applyFont="1" applyBorder="1" applyAlignment="1">
      <alignment horizontal="left" vertical="center"/>
    </xf>
    <xf numFmtId="41" fontId="15" fillId="0" borderId="0" xfId="1" applyFont="1" applyAlignment="1">
      <alignment horizontal="left" vertical="center"/>
    </xf>
    <xf numFmtId="41" fontId="19" fillId="2" borderId="7" xfId="1" applyFont="1" applyFill="1" applyBorder="1" applyAlignment="1">
      <alignment horizontal="center" vertical="center"/>
    </xf>
    <xf numFmtId="41" fontId="19" fillId="2" borderId="3" xfId="1" applyFont="1" applyFill="1" applyBorder="1" applyAlignment="1">
      <alignment horizontal="center" vertical="center"/>
    </xf>
    <xf numFmtId="0" fontId="31" fillId="0" borderId="0" xfId="0" applyFont="1"/>
    <xf numFmtId="0" fontId="32" fillId="0" borderId="0" xfId="0" applyFont="1" applyAlignment="1">
      <alignment horizontal="center" vertical="center"/>
    </xf>
    <xf numFmtId="0" fontId="33" fillId="4" borderId="0" xfId="0" applyFont="1" applyFill="1" applyAlignment="1">
      <alignment vertical="center"/>
    </xf>
    <xf numFmtId="0" fontId="23" fillId="4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14" fontId="33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36" fillId="0" borderId="0" xfId="0" applyFont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0" fontId="38" fillId="0" borderId="0" xfId="0" applyFont="1"/>
    <xf numFmtId="180" fontId="19" fillId="0" borderId="62" xfId="0" quotePrefix="1" applyNumberFormat="1" applyFont="1" applyBorder="1" applyAlignment="1">
      <alignment horizontal="center" vertical="center" shrinkToFit="1"/>
    </xf>
    <xf numFmtId="180" fontId="23" fillId="0" borderId="62" xfId="0" quotePrefix="1" applyNumberFormat="1" applyFont="1" applyBorder="1" applyAlignment="1">
      <alignment horizontal="center" vertical="center" shrinkToFit="1"/>
    </xf>
    <xf numFmtId="0" fontId="39" fillId="3" borderId="62" xfId="0" applyFont="1" applyFill="1" applyBorder="1" applyAlignment="1">
      <alignment horizontal="center" vertical="center"/>
    </xf>
    <xf numFmtId="41" fontId="23" fillId="0" borderId="63" xfId="1" quotePrefix="1" applyFont="1" applyBorder="1" applyAlignment="1">
      <alignment horizontal="center" vertical="center" shrinkToFit="1"/>
    </xf>
    <xf numFmtId="41" fontId="39" fillId="3" borderId="63" xfId="1" applyFont="1" applyFill="1" applyBorder="1" applyAlignment="1">
      <alignment horizontal="center" vertical="center"/>
    </xf>
    <xf numFmtId="41" fontId="22" fillId="0" borderId="44" xfId="1" applyFont="1" applyBorder="1" applyAlignment="1">
      <alignment vertical="center" shrinkToFit="1"/>
    </xf>
    <xf numFmtId="41" fontId="39" fillId="0" borderId="44" xfId="1" applyFont="1" applyBorder="1" applyAlignment="1">
      <alignment vertical="center" shrinkToFit="1"/>
    </xf>
    <xf numFmtId="41" fontId="39" fillId="3" borderId="44" xfId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41" fontId="40" fillId="0" borderId="0" xfId="1" applyFont="1" applyAlignment="1">
      <alignment vertical="center" shrinkToFit="1"/>
    </xf>
    <xf numFmtId="41" fontId="41" fillId="0" borderId="0" xfId="1" applyFont="1" applyAlignment="1">
      <alignment vertical="center" shrinkToFit="1"/>
    </xf>
    <xf numFmtId="41" fontId="42" fillId="0" borderId="0" xfId="1" applyFont="1" applyAlignment="1">
      <alignment vertical="center" shrinkToFit="1"/>
    </xf>
    <xf numFmtId="0" fontId="43" fillId="0" borderId="0" xfId="0" applyFont="1" applyAlignment="1">
      <alignment horizontal="center" vertical="center" shrinkToFit="1"/>
    </xf>
    <xf numFmtId="0" fontId="23" fillId="0" borderId="62" xfId="0" applyFont="1" applyBorder="1" applyAlignment="1">
      <alignment horizontal="center" vertical="center"/>
    </xf>
    <xf numFmtId="180" fontId="44" fillId="0" borderId="62" xfId="0" quotePrefix="1" applyNumberFormat="1" applyFont="1" applyBorder="1" applyAlignment="1">
      <alignment horizontal="center" vertical="center" shrinkToFit="1"/>
    </xf>
    <xf numFmtId="0" fontId="23" fillId="0" borderId="64" xfId="0" applyFont="1" applyBorder="1" applyAlignment="1">
      <alignment horizontal="center" vertical="center"/>
    </xf>
    <xf numFmtId="41" fontId="23" fillId="0" borderId="64" xfId="1" quotePrefix="1" applyFont="1" applyBorder="1" applyAlignment="1">
      <alignment horizontal="center" vertical="center" shrinkToFit="1"/>
    </xf>
    <xf numFmtId="0" fontId="23" fillId="0" borderId="63" xfId="0" applyFont="1" applyBorder="1" applyAlignment="1">
      <alignment horizontal="center" vertical="center"/>
    </xf>
    <xf numFmtId="0" fontId="39" fillId="0" borderId="44" xfId="0" applyFont="1" applyBorder="1" applyAlignment="1">
      <alignment horizontal="center" vertical="center"/>
    </xf>
    <xf numFmtId="41" fontId="39" fillId="3" borderId="65" xfId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26" fontId="40" fillId="0" borderId="0" xfId="1" applyNumberFormat="1" applyFont="1" applyAlignment="1">
      <alignment vertical="center" shrinkToFit="1"/>
    </xf>
    <xf numFmtId="26" fontId="41" fillId="0" borderId="0" xfId="1" applyNumberFormat="1" applyFont="1" applyAlignment="1">
      <alignment vertical="center" shrinkToFit="1"/>
    </xf>
    <xf numFmtId="41" fontId="39" fillId="3" borderId="35" xfId="1" applyFont="1" applyFill="1" applyBorder="1" applyAlignment="1">
      <alignment horizontal="center" vertical="center"/>
    </xf>
    <xf numFmtId="0" fontId="33" fillId="5" borderId="0" xfId="0" applyFont="1" applyFill="1" applyAlignment="1">
      <alignment vertical="center"/>
    </xf>
    <xf numFmtId="0" fontId="23" fillId="5" borderId="0" xfId="0" applyFont="1" applyFill="1" applyAlignment="1">
      <alignment vertical="center"/>
    </xf>
    <xf numFmtId="180" fontId="23" fillId="0" borderId="62" xfId="0" applyNumberFormat="1" applyFont="1" applyBorder="1" applyAlignment="1">
      <alignment horizontal="center" vertical="center" shrinkToFit="1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33" fillId="6" borderId="0" xfId="0" applyFont="1" applyFill="1" applyAlignment="1">
      <alignment vertical="center"/>
    </xf>
    <xf numFmtId="0" fontId="23" fillId="6" borderId="0" xfId="0" applyFont="1" applyFill="1" applyAlignment="1">
      <alignment vertical="center"/>
    </xf>
    <xf numFmtId="0" fontId="43" fillId="0" borderId="43" xfId="0" applyFont="1" applyBorder="1" applyAlignment="1">
      <alignment horizontal="center" vertical="center" shrinkToFit="1"/>
    </xf>
    <xf numFmtId="0" fontId="37" fillId="0" borderId="43" xfId="0" applyFont="1" applyBorder="1" applyAlignment="1">
      <alignment horizontal="center" vertical="center" shrinkToFit="1"/>
    </xf>
    <xf numFmtId="41" fontId="23" fillId="0" borderId="62" xfId="1" quotePrefix="1" applyFont="1" applyBorder="1" applyAlignment="1">
      <alignment horizontal="center" vertical="center" shrinkToFit="1"/>
    </xf>
    <xf numFmtId="3" fontId="23" fillId="0" borderId="62" xfId="0" quotePrefix="1" applyNumberFormat="1" applyFont="1" applyBorder="1" applyAlignment="1">
      <alignment horizontal="right" vertical="center" shrinkToFit="1"/>
    </xf>
    <xf numFmtId="1" fontId="23" fillId="0" borderId="62" xfId="0" quotePrefix="1" applyNumberFormat="1" applyFont="1" applyBorder="1" applyAlignment="1">
      <alignment horizontal="right" vertical="center" shrinkToFit="1"/>
    </xf>
    <xf numFmtId="41" fontId="39" fillId="3" borderId="62" xfId="1" applyFont="1" applyFill="1" applyBorder="1" applyAlignment="1">
      <alignment horizontal="center" vertical="center"/>
    </xf>
    <xf numFmtId="3" fontId="23" fillId="0" borderId="64" xfId="0" quotePrefix="1" applyNumberFormat="1" applyFont="1" applyBorder="1" applyAlignment="1">
      <alignment horizontal="right" vertical="center" shrinkToFit="1"/>
    </xf>
    <xf numFmtId="1" fontId="23" fillId="0" borderId="64" xfId="0" quotePrefix="1" applyNumberFormat="1" applyFont="1" applyBorder="1" applyAlignment="1">
      <alignment horizontal="right" vertical="center" shrinkToFit="1"/>
    </xf>
    <xf numFmtId="41" fontId="39" fillId="3" borderId="64" xfId="1" applyFont="1" applyFill="1" applyBorder="1" applyAlignment="1">
      <alignment horizontal="center" vertical="center"/>
    </xf>
    <xf numFmtId="3" fontId="23" fillId="0" borderId="63" xfId="0" quotePrefix="1" applyNumberFormat="1" applyFont="1" applyBorder="1" applyAlignment="1">
      <alignment horizontal="right" vertical="center" shrinkToFit="1"/>
    </xf>
    <xf numFmtId="1" fontId="23" fillId="0" borderId="63" xfId="0" quotePrefix="1" applyNumberFormat="1" applyFont="1" applyBorder="1" applyAlignment="1">
      <alignment horizontal="right" vertical="center" shrinkToFit="1"/>
    </xf>
    <xf numFmtId="41" fontId="39" fillId="0" borderId="44" xfId="1" applyFont="1" applyBorder="1" applyAlignment="1">
      <alignment vertical="center"/>
    </xf>
    <xf numFmtId="41" fontId="40" fillId="0" borderId="0" xfId="1" applyFont="1" applyAlignment="1">
      <alignment horizontal="center" vertical="center"/>
    </xf>
    <xf numFmtId="41" fontId="42" fillId="0" borderId="0" xfId="1" applyFont="1" applyAlignment="1">
      <alignment horizontal="center" vertical="center"/>
    </xf>
    <xf numFmtId="41" fontId="23" fillId="0" borderId="0" xfId="1" applyFont="1" applyAlignment="1">
      <alignment horizontal="center" vertical="center"/>
    </xf>
    <xf numFmtId="181" fontId="23" fillId="0" borderId="0" xfId="1" applyNumberFormat="1" applyFont="1" applyAlignment="1">
      <alignment vertical="center"/>
    </xf>
    <xf numFmtId="41" fontId="23" fillId="0" borderId="0" xfId="1" applyFont="1" applyAlignment="1">
      <alignment vertical="center"/>
    </xf>
    <xf numFmtId="0" fontId="24" fillId="7" borderId="0" xfId="0" applyFont="1" applyFill="1" applyAlignment="1">
      <alignment vertical="center"/>
    </xf>
    <xf numFmtId="0" fontId="19" fillId="7" borderId="0" xfId="0" applyFont="1" applyFill="1" applyAlignment="1">
      <alignment vertical="center"/>
    </xf>
    <xf numFmtId="0" fontId="51" fillId="0" borderId="0" xfId="0" applyFont="1" applyAlignment="1">
      <alignment vertical="center"/>
    </xf>
    <xf numFmtId="176" fontId="23" fillId="0" borderId="63" xfId="1" quotePrefix="1" applyNumberFormat="1" applyFont="1" applyBorder="1" applyAlignment="1">
      <alignment horizontal="right" vertical="center" shrinkToFit="1"/>
    </xf>
    <xf numFmtId="177" fontId="40" fillId="0" borderId="0" xfId="1" applyNumberFormat="1" applyFont="1" applyAlignment="1">
      <alignment vertical="center" shrinkToFit="1"/>
    </xf>
    <xf numFmtId="181" fontId="42" fillId="0" borderId="0" xfId="1" applyNumberFormat="1" applyFont="1" applyAlignment="1">
      <alignment vertical="center" shrinkToFit="1"/>
    </xf>
    <xf numFmtId="0" fontId="24" fillId="8" borderId="0" xfId="0" applyFont="1" applyFill="1" applyAlignment="1">
      <alignment vertical="center"/>
    </xf>
    <xf numFmtId="0" fontId="19" fillId="8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3" fillId="0" borderId="35" xfId="0" applyFont="1" applyBorder="1" applyAlignment="1">
      <alignment horizontal="center" vertical="center"/>
    </xf>
    <xf numFmtId="176" fontId="19" fillId="0" borderId="35" xfId="1" quotePrefix="1" applyNumberFormat="1" applyFont="1" applyBorder="1" applyAlignment="1">
      <alignment horizontal="right" vertical="center" shrinkToFit="1"/>
    </xf>
    <xf numFmtId="176" fontId="23" fillId="0" borderId="35" xfId="1" quotePrefix="1" applyNumberFormat="1" applyFont="1" applyBorder="1" applyAlignment="1">
      <alignment horizontal="right" vertical="center" shrinkToFit="1"/>
    </xf>
    <xf numFmtId="41" fontId="23" fillId="0" borderId="0" xfId="1" quotePrefix="1" applyFont="1" applyAlignment="1">
      <alignment horizontal="center" vertical="center"/>
    </xf>
    <xf numFmtId="41" fontId="19" fillId="0" borderId="0" xfId="1" quotePrefix="1" applyFont="1" applyAlignment="1">
      <alignment horizontal="center" vertical="center"/>
    </xf>
    <xf numFmtId="0" fontId="53" fillId="9" borderId="0" xfId="0" applyFont="1" applyFill="1" applyAlignment="1">
      <alignment vertical="center"/>
    </xf>
    <xf numFmtId="0" fontId="54" fillId="9" borderId="0" xfId="0" applyFont="1" applyFill="1" applyAlignment="1">
      <alignment vertical="center"/>
    </xf>
    <xf numFmtId="41" fontId="23" fillId="0" borderId="64" xfId="0" quotePrefix="1" applyNumberFormat="1" applyFont="1" applyBorder="1" applyAlignment="1">
      <alignment horizontal="right" vertical="center" shrinkToFit="1"/>
    </xf>
    <xf numFmtId="0" fontId="24" fillId="4" borderId="0" xfId="0" applyFont="1" applyFill="1" applyAlignment="1">
      <alignment vertical="center"/>
    </xf>
    <xf numFmtId="0" fontId="19" fillId="4" borderId="0" xfId="0" applyFont="1" applyFill="1" applyAlignment="1">
      <alignment vertical="center"/>
    </xf>
    <xf numFmtId="0" fontId="22" fillId="4" borderId="0" xfId="0" applyFont="1" applyFill="1" applyAlignment="1">
      <alignment vertical="center"/>
    </xf>
    <xf numFmtId="0" fontId="30" fillId="10" borderId="0" xfId="0" applyFont="1" applyFill="1" applyAlignment="1">
      <alignment vertical="center"/>
    </xf>
    <xf numFmtId="0" fontId="55" fillId="10" borderId="0" xfId="0" applyFont="1" applyFill="1" applyAlignment="1">
      <alignment vertical="center"/>
    </xf>
    <xf numFmtId="0" fontId="56" fillId="10" borderId="0" xfId="0" applyFont="1" applyFill="1" applyAlignment="1">
      <alignment vertical="center"/>
    </xf>
    <xf numFmtId="0" fontId="36" fillId="11" borderId="0" xfId="0" applyFont="1" applyFill="1" applyAlignment="1">
      <alignment horizontal="center" vertical="center" shrinkToFit="1"/>
    </xf>
    <xf numFmtId="0" fontId="57" fillId="0" borderId="0" xfId="0" applyFont="1" applyAlignment="1">
      <alignment horizontal="left" vertical="center"/>
    </xf>
    <xf numFmtId="181" fontId="23" fillId="0" borderId="0" xfId="1" quotePrefix="1" applyNumberFormat="1" applyFont="1" applyAlignment="1">
      <alignment vertical="center"/>
    </xf>
    <xf numFmtId="181" fontId="58" fillId="12" borderId="0" xfId="1" applyNumberFormat="1" applyFont="1" applyFill="1" applyAlignment="1">
      <alignment horizontal="center" vertical="center"/>
    </xf>
    <xf numFmtId="41" fontId="58" fillId="12" borderId="0" xfId="0" applyNumberFormat="1" applyFont="1" applyFill="1" applyAlignment="1">
      <alignment horizontal="center" vertical="center"/>
    </xf>
    <xf numFmtId="41" fontId="59" fillId="0" borderId="0" xfId="0" applyNumberFormat="1" applyFont="1"/>
    <xf numFmtId="0" fontId="23" fillId="0" borderId="0" xfId="0" applyFont="1"/>
    <xf numFmtId="0" fontId="23" fillId="0" borderId="0" xfId="0" applyFont="1" applyAlignment="1">
      <alignment horizontal="center"/>
    </xf>
    <xf numFmtId="182" fontId="39" fillId="0" borderId="0" xfId="0" applyNumberFormat="1" applyFont="1"/>
    <xf numFmtId="0" fontId="20" fillId="2" borderId="69" xfId="1" applyNumberFormat="1" applyFont="1" applyFill="1" applyBorder="1" applyAlignment="1">
      <alignment horizontal="center" vertical="center" shrinkToFit="1"/>
    </xf>
    <xf numFmtId="0" fontId="20" fillId="2" borderId="71" xfId="1" applyNumberFormat="1" applyFont="1" applyFill="1" applyBorder="1" applyAlignment="1">
      <alignment horizontal="center" vertical="center" shrinkToFit="1"/>
    </xf>
    <xf numFmtId="0" fontId="19" fillId="2" borderId="68" xfId="1" applyNumberFormat="1" applyFont="1" applyFill="1" applyBorder="1" applyAlignment="1">
      <alignment horizontal="center" vertical="center" shrinkToFit="1"/>
    </xf>
    <xf numFmtId="41" fontId="23" fillId="0" borderId="0" xfId="1" applyFont="1"/>
    <xf numFmtId="41" fontId="39" fillId="0" borderId="0" xfId="1" applyFont="1"/>
    <xf numFmtId="0" fontId="24" fillId="13" borderId="0" xfId="0" applyFont="1" applyFill="1" applyAlignment="1">
      <alignment vertical="center"/>
    </xf>
    <xf numFmtId="0" fontId="19" fillId="13" borderId="0" xfId="0" applyFont="1" applyFill="1" applyAlignment="1">
      <alignment vertical="center"/>
    </xf>
    <xf numFmtId="0" fontId="22" fillId="13" borderId="0" xfId="0" applyFont="1" applyFill="1" applyAlignment="1">
      <alignment vertical="center"/>
    </xf>
    <xf numFmtId="41" fontId="61" fillId="0" borderId="0" xfId="1" applyFont="1"/>
    <xf numFmtId="41" fontId="31" fillId="0" borderId="0" xfId="1" applyFont="1" applyAlignment="1">
      <alignment vertical="center"/>
    </xf>
    <xf numFmtId="41" fontId="19" fillId="2" borderId="48" xfId="1" applyFont="1" applyFill="1" applyBorder="1" applyAlignment="1">
      <alignment horizontal="center" vertical="center" shrinkToFit="1"/>
    </xf>
    <xf numFmtId="180" fontId="23" fillId="0" borderId="85" xfId="0" quotePrefix="1" applyNumberFormat="1" applyFont="1" applyBorder="1" applyAlignment="1">
      <alignment horizontal="center" vertical="center" shrinkToFit="1"/>
    </xf>
    <xf numFmtId="0" fontId="68" fillId="0" borderId="0" xfId="0" applyFont="1" applyAlignment="1">
      <alignment horizontal="center" vertical="center" shrinkToFit="1"/>
    </xf>
    <xf numFmtId="0" fontId="68" fillId="0" borderId="0" xfId="0" applyFont="1" applyAlignment="1">
      <alignment vertical="center" shrinkToFit="1"/>
    </xf>
    <xf numFmtId="0" fontId="23" fillId="0" borderId="53" xfId="0" applyFont="1" applyBorder="1" applyAlignment="1">
      <alignment horizontal="center" vertical="center"/>
    </xf>
    <xf numFmtId="0" fontId="23" fillId="2" borderId="53" xfId="0" applyFont="1" applyFill="1" applyBorder="1" applyAlignment="1">
      <alignment horizontal="center" vertical="center"/>
    </xf>
    <xf numFmtId="0" fontId="39" fillId="0" borderId="84" xfId="0" applyFont="1" applyBorder="1" applyAlignment="1">
      <alignment horizontal="center" vertical="center"/>
    </xf>
    <xf numFmtId="41" fontId="23" fillId="0" borderId="0" xfId="0" quotePrefix="1" applyNumberFormat="1" applyFont="1" applyAlignment="1">
      <alignment horizontal="right" vertical="center"/>
    </xf>
    <xf numFmtId="180" fontId="44" fillId="14" borderId="64" xfId="0" quotePrefix="1" applyNumberFormat="1" applyFont="1" applyFill="1" applyBorder="1" applyAlignment="1">
      <alignment horizontal="center" vertical="center" shrinkToFit="1"/>
    </xf>
    <xf numFmtId="41" fontId="19" fillId="14" borderId="85" xfId="1" applyFont="1" applyFill="1" applyBorder="1" applyAlignment="1">
      <alignment vertical="center" shrinkToFit="1"/>
    </xf>
    <xf numFmtId="41" fontId="19" fillId="14" borderId="53" xfId="1" applyFont="1" applyFill="1" applyBorder="1" applyAlignment="1">
      <alignment vertical="center" shrinkToFit="1"/>
    </xf>
    <xf numFmtId="41" fontId="22" fillId="0" borderId="90" xfId="1" applyFont="1" applyBorder="1" applyAlignment="1">
      <alignment vertical="center" shrinkToFit="1"/>
    </xf>
    <xf numFmtId="41" fontId="19" fillId="2" borderId="98" xfId="1" applyFont="1" applyFill="1" applyBorder="1" applyAlignment="1">
      <alignment horizontal="center" vertical="center" shrinkToFit="1"/>
    </xf>
    <xf numFmtId="41" fontId="19" fillId="2" borderId="97" xfId="1" applyFont="1" applyFill="1" applyBorder="1" applyAlignment="1">
      <alignment horizontal="center" vertical="center" shrinkToFit="1"/>
    </xf>
    <xf numFmtId="0" fontId="19" fillId="0" borderId="53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22" fillId="0" borderId="89" xfId="0" applyFont="1" applyBorder="1" applyAlignment="1">
      <alignment horizontal="center" vertical="center"/>
    </xf>
    <xf numFmtId="180" fontId="19" fillId="0" borderId="85" xfId="0" quotePrefix="1" applyNumberFormat="1" applyFont="1" applyBorder="1" applyAlignment="1">
      <alignment horizontal="center" vertical="center" shrinkToFit="1"/>
    </xf>
    <xf numFmtId="41" fontId="19" fillId="0" borderId="104" xfId="1" quotePrefix="1" applyFont="1" applyBorder="1" applyAlignment="1">
      <alignment horizontal="center" vertical="center" shrinkToFit="1"/>
    </xf>
    <xf numFmtId="26" fontId="40" fillId="0" borderId="0" xfId="1" applyNumberFormat="1" applyFont="1" applyBorder="1" applyAlignment="1">
      <alignment vertical="center" shrinkToFit="1"/>
    </xf>
    <xf numFmtId="0" fontId="23" fillId="14" borderId="88" xfId="0" applyFont="1" applyFill="1" applyBorder="1" applyAlignment="1">
      <alignment horizontal="center" vertical="center"/>
    </xf>
    <xf numFmtId="41" fontId="19" fillId="14" borderId="62" xfId="1" applyFont="1" applyFill="1" applyBorder="1" applyAlignment="1">
      <alignment vertical="center" shrinkToFit="1"/>
    </xf>
    <xf numFmtId="41" fontId="23" fillId="0" borderId="62" xfId="1" quotePrefix="1" applyFont="1" applyFill="1" applyBorder="1" applyAlignment="1">
      <alignment horizontal="right" vertical="center" shrinkToFit="1"/>
    </xf>
    <xf numFmtId="41" fontId="11" fillId="0" borderId="13" xfId="1" applyFont="1" applyFill="1" applyBorder="1" applyAlignment="1">
      <alignment horizontal="center" vertical="center"/>
    </xf>
    <xf numFmtId="41" fontId="10" fillId="0" borderId="8" xfId="1" applyFont="1" applyFill="1" applyBorder="1" applyAlignment="1">
      <alignment horizontal="center" vertical="center"/>
    </xf>
    <xf numFmtId="41" fontId="10" fillId="0" borderId="18" xfId="1" applyFont="1" applyFill="1" applyBorder="1" applyAlignment="1">
      <alignment horizontal="center" vertical="center"/>
    </xf>
    <xf numFmtId="41" fontId="10" fillId="0" borderId="80" xfId="1" applyFont="1" applyFill="1" applyBorder="1" applyAlignment="1">
      <alignment horizontal="center" vertical="center"/>
    </xf>
    <xf numFmtId="41" fontId="10" fillId="0" borderId="18" xfId="1" applyFont="1" applyBorder="1" applyAlignment="1">
      <alignment horizontal="center" vertical="center"/>
    </xf>
    <xf numFmtId="17" fontId="23" fillId="0" borderId="88" xfId="0" applyNumberFormat="1" applyFont="1" applyBorder="1" applyAlignment="1">
      <alignment horizontal="center" vertical="center"/>
    </xf>
    <xf numFmtId="0" fontId="23" fillId="0" borderId="88" xfId="0" applyFont="1" applyBorder="1" applyAlignment="1">
      <alignment horizontal="center" vertical="center"/>
    </xf>
    <xf numFmtId="0" fontId="23" fillId="0" borderId="79" xfId="0" applyFont="1" applyBorder="1" applyAlignment="1">
      <alignment horizontal="center" vertical="center"/>
    </xf>
    <xf numFmtId="0" fontId="39" fillId="0" borderId="89" xfId="0" applyFont="1" applyBorder="1" applyAlignment="1">
      <alignment horizontal="center" vertical="center"/>
    </xf>
    <xf numFmtId="41" fontId="19" fillId="14" borderId="106" xfId="1" applyFont="1" applyFill="1" applyBorder="1" applyAlignment="1">
      <alignment vertical="center" shrinkToFit="1"/>
    </xf>
    <xf numFmtId="41" fontId="41" fillId="0" borderId="0" xfId="1" applyFont="1" applyBorder="1" applyAlignment="1">
      <alignment vertical="center" shrinkToFit="1"/>
    </xf>
    <xf numFmtId="180" fontId="44" fillId="14" borderId="62" xfId="0" quotePrefix="1" applyNumberFormat="1" applyFont="1" applyFill="1" applyBorder="1" applyAlignment="1">
      <alignment horizontal="center" vertical="center" shrinkToFit="1"/>
    </xf>
    <xf numFmtId="41" fontId="19" fillId="0" borderId="63" xfId="1" quotePrefix="1" applyFont="1" applyBorder="1" applyAlignment="1">
      <alignment horizontal="center" vertical="center" shrinkToFit="1"/>
    </xf>
    <xf numFmtId="180" fontId="23" fillId="0" borderId="52" xfId="0" quotePrefix="1" applyNumberFormat="1" applyFont="1" applyBorder="1" applyAlignment="1">
      <alignment horizontal="center" vertical="center" shrinkToFit="1"/>
    </xf>
    <xf numFmtId="176" fontId="23" fillId="0" borderId="63" xfId="1" quotePrefix="1" applyNumberFormat="1" applyFont="1" applyFill="1" applyBorder="1" applyAlignment="1">
      <alignment horizontal="right" vertical="center" shrinkToFit="1"/>
    </xf>
    <xf numFmtId="0" fontId="36" fillId="15" borderId="0" xfId="0" applyFont="1" applyFill="1" applyAlignment="1">
      <alignment horizontal="center" vertical="center" shrinkToFit="1"/>
    </xf>
    <xf numFmtId="0" fontId="66" fillId="0" borderId="0" xfId="0" applyFont="1" applyAlignment="1">
      <alignment horizontal="center"/>
    </xf>
    <xf numFmtId="26" fontId="40" fillId="0" borderId="0" xfId="1" applyNumberFormat="1" applyFont="1" applyBorder="1" applyAlignment="1">
      <alignment horizontal="center" vertical="center" shrinkToFit="1"/>
    </xf>
    <xf numFmtId="41" fontId="18" fillId="2" borderId="0" xfId="1" applyFont="1" applyFill="1" applyAlignment="1">
      <alignment vertical="center"/>
    </xf>
    <xf numFmtId="14" fontId="18" fillId="2" borderId="0" xfId="1" applyNumberFormat="1" applyFont="1" applyFill="1" applyBorder="1" applyAlignment="1">
      <alignment horizontal="center" vertical="center"/>
    </xf>
    <xf numFmtId="14" fontId="19" fillId="2" borderId="0" xfId="1" applyNumberFormat="1" applyFont="1" applyFill="1" applyBorder="1" applyAlignment="1">
      <alignment horizontal="right" vertical="center"/>
    </xf>
    <xf numFmtId="41" fontId="20" fillId="2" borderId="0" xfId="1" applyFont="1" applyFill="1" applyAlignment="1">
      <alignment vertical="center"/>
    </xf>
    <xf numFmtId="0" fontId="19" fillId="2" borderId="41" xfId="1" applyNumberFormat="1" applyFont="1" applyFill="1" applyBorder="1" applyAlignment="1">
      <alignment horizontal="center" vertical="center" shrinkToFit="1"/>
    </xf>
    <xf numFmtId="0" fontId="19" fillId="2" borderId="41" xfId="1" quotePrefix="1" applyNumberFormat="1" applyFont="1" applyFill="1" applyBorder="1" applyAlignment="1">
      <alignment horizontal="center" vertical="center" shrinkToFit="1"/>
    </xf>
    <xf numFmtId="0" fontId="19" fillId="2" borderId="47" xfId="1" applyNumberFormat="1" applyFont="1" applyFill="1" applyBorder="1" applyAlignment="1">
      <alignment horizontal="center" vertical="center" shrinkToFit="1"/>
    </xf>
    <xf numFmtId="0" fontId="19" fillId="2" borderId="49" xfId="1" applyNumberFormat="1" applyFont="1" applyFill="1" applyBorder="1" applyAlignment="1">
      <alignment horizontal="center" vertical="center" shrinkToFit="1"/>
    </xf>
    <xf numFmtId="41" fontId="19" fillId="2" borderId="0" xfId="1" applyFont="1" applyFill="1" applyAlignment="1">
      <alignment vertical="center"/>
    </xf>
    <xf numFmtId="0" fontId="22" fillId="2" borderId="11" xfId="0" applyFont="1" applyFill="1" applyBorder="1" applyAlignment="1">
      <alignment horizontal="center" vertical="center" wrapText="1"/>
    </xf>
    <xf numFmtId="41" fontId="19" fillId="2" borderId="37" xfId="1" applyFont="1" applyFill="1" applyBorder="1" applyAlignment="1">
      <alignment horizontal="center" vertical="center"/>
    </xf>
    <xf numFmtId="41" fontId="19" fillId="2" borderId="38" xfId="1" applyFont="1" applyFill="1" applyBorder="1" applyAlignment="1">
      <alignment horizontal="center" vertical="center" shrinkToFit="1"/>
    </xf>
    <xf numFmtId="41" fontId="19" fillId="2" borderId="91" xfId="1" applyFont="1" applyFill="1" applyBorder="1" applyAlignment="1">
      <alignment horizontal="center" vertical="center" shrinkToFit="1"/>
    </xf>
    <xf numFmtId="41" fontId="19" fillId="2" borderId="100" xfId="1" applyFont="1" applyFill="1" applyBorder="1" applyAlignment="1">
      <alignment horizontal="center" vertical="center" shrinkToFit="1"/>
    </xf>
    <xf numFmtId="41" fontId="23" fillId="2" borderId="56" xfId="1" applyFont="1" applyFill="1" applyBorder="1" applyAlignment="1">
      <alignment horizontal="right" vertical="center" shrinkToFit="1"/>
    </xf>
    <xf numFmtId="41" fontId="19" fillId="2" borderId="51" xfId="1" applyFont="1" applyFill="1" applyBorder="1" applyAlignment="1">
      <alignment horizontal="center" vertical="center" shrinkToFit="1"/>
    </xf>
    <xf numFmtId="41" fontId="22" fillId="2" borderId="73" xfId="1" applyFont="1" applyFill="1" applyBorder="1" applyAlignment="1">
      <alignment horizontal="center" vertical="center" shrinkToFit="1"/>
    </xf>
    <xf numFmtId="179" fontId="39" fillId="2" borderId="74" xfId="1" applyNumberFormat="1" applyFont="1" applyFill="1" applyBorder="1" applyAlignment="1">
      <alignment horizontal="right" vertical="center" shrinkToFit="1"/>
    </xf>
    <xf numFmtId="41" fontId="24" fillId="2" borderId="82" xfId="1" applyFont="1" applyFill="1" applyBorder="1" applyAlignment="1">
      <alignment horizontal="center" vertical="center" shrinkToFit="1"/>
    </xf>
    <xf numFmtId="0" fontId="22" fillId="2" borderId="52" xfId="0" applyFont="1" applyFill="1" applyBorder="1" applyAlignment="1">
      <alignment horizontal="center" vertical="center" wrapText="1"/>
    </xf>
    <xf numFmtId="41" fontId="19" fillId="2" borderId="53" xfId="1" applyFont="1" applyFill="1" applyBorder="1" applyAlignment="1">
      <alignment horizontal="center" vertical="center" wrapText="1"/>
    </xf>
    <xf numFmtId="41" fontId="19" fillId="2" borderId="54" xfId="1" applyFont="1" applyFill="1" applyBorder="1" applyAlignment="1">
      <alignment horizontal="center" vertical="center" shrinkToFit="1"/>
    </xf>
    <xf numFmtId="41" fontId="19" fillId="2" borderId="92" xfId="1" applyFont="1" applyFill="1" applyBorder="1" applyAlignment="1">
      <alignment horizontal="center" vertical="center" shrinkToFit="1"/>
    </xf>
    <xf numFmtId="41" fontId="19" fillId="2" borderId="101" xfId="1" applyFont="1" applyFill="1" applyBorder="1" applyAlignment="1">
      <alignment horizontal="center" vertical="center" shrinkToFit="1"/>
    </xf>
    <xf numFmtId="41" fontId="19" fillId="2" borderId="55" xfId="1" applyFont="1" applyFill="1" applyBorder="1" applyAlignment="1">
      <alignment horizontal="center" vertical="center" shrinkToFit="1"/>
    </xf>
    <xf numFmtId="41" fontId="22" fillId="2" borderId="66" xfId="1" applyFont="1" applyFill="1" applyBorder="1" applyAlignment="1">
      <alignment horizontal="center" vertical="center" shrinkToFit="1"/>
    </xf>
    <xf numFmtId="179" fontId="39" fillId="2" borderId="75" xfId="1" applyNumberFormat="1" applyFont="1" applyFill="1" applyBorder="1" applyAlignment="1">
      <alignment horizontal="right" vertical="center" shrinkToFit="1"/>
    </xf>
    <xf numFmtId="41" fontId="24" fillId="2" borderId="54" xfId="1" applyFont="1" applyFill="1" applyBorder="1" applyAlignment="1">
      <alignment horizontal="center" vertical="center" shrinkToFit="1"/>
    </xf>
    <xf numFmtId="41" fontId="19" fillId="2" borderId="53" xfId="1" applyFont="1" applyFill="1" applyBorder="1" applyAlignment="1">
      <alignment horizontal="center" vertical="center"/>
    </xf>
    <xf numFmtId="41" fontId="24" fillId="2" borderId="92" xfId="1" applyFont="1" applyFill="1" applyBorder="1" applyAlignment="1">
      <alignment horizontal="center" vertical="center" shrinkToFit="1"/>
    </xf>
    <xf numFmtId="41" fontId="24" fillId="2" borderId="101" xfId="1" applyFont="1" applyFill="1" applyBorder="1" applyAlignment="1">
      <alignment horizontal="center" vertical="center" shrinkToFit="1"/>
    </xf>
    <xf numFmtId="0" fontId="22" fillId="2" borderId="57" xfId="0" applyFont="1" applyFill="1" applyBorder="1" applyAlignment="1">
      <alignment horizontal="center" vertical="center" wrapText="1"/>
    </xf>
    <xf numFmtId="41" fontId="19" fillId="2" borderId="58" xfId="1" applyFont="1" applyFill="1" applyBorder="1" applyAlignment="1">
      <alignment horizontal="center" vertical="center" wrapText="1"/>
    </xf>
    <xf numFmtId="41" fontId="19" fillId="2" borderId="59" xfId="1" applyFont="1" applyFill="1" applyBorder="1" applyAlignment="1">
      <alignment horizontal="center" vertical="center" shrinkToFit="1"/>
    </xf>
    <xf numFmtId="41" fontId="19" fillId="2" borderId="99" xfId="1" applyFont="1" applyFill="1" applyBorder="1" applyAlignment="1">
      <alignment horizontal="center" vertical="center" shrinkToFit="1"/>
    </xf>
    <xf numFmtId="41" fontId="19" fillId="2" borderId="102" xfId="1" applyFont="1" applyFill="1" applyBorder="1" applyAlignment="1">
      <alignment horizontal="center" vertical="center" shrinkToFit="1"/>
    </xf>
    <xf numFmtId="41" fontId="19" fillId="2" borderId="60" xfId="1" applyFont="1" applyFill="1" applyBorder="1" applyAlignment="1">
      <alignment horizontal="center" vertical="center" shrinkToFit="1"/>
    </xf>
    <xf numFmtId="41" fontId="22" fillId="2" borderId="67" xfId="1" applyFont="1" applyFill="1" applyBorder="1" applyAlignment="1">
      <alignment horizontal="center" vertical="center" shrinkToFit="1"/>
    </xf>
    <xf numFmtId="41" fontId="23" fillId="2" borderId="61" xfId="1" applyFont="1" applyFill="1" applyBorder="1" applyAlignment="1">
      <alignment horizontal="right" vertical="center" shrinkToFit="1"/>
    </xf>
    <xf numFmtId="179" fontId="39" fillId="2" borderId="76" xfId="1" applyNumberFormat="1" applyFont="1" applyFill="1" applyBorder="1" applyAlignment="1">
      <alignment horizontal="right" vertical="center" shrinkToFit="1"/>
    </xf>
    <xf numFmtId="41" fontId="24" fillId="2" borderId="81" xfId="1" applyFont="1" applyFill="1" applyBorder="1" applyAlignment="1">
      <alignment horizontal="center" vertical="center" shrinkToFit="1"/>
    </xf>
    <xf numFmtId="41" fontId="27" fillId="2" borderId="48" xfId="1" applyFont="1" applyFill="1" applyBorder="1" applyAlignment="1">
      <alignment vertical="center" shrinkToFit="1"/>
    </xf>
    <xf numFmtId="179" fontId="58" fillId="2" borderId="5" xfId="1" applyNumberFormat="1" applyFont="1" applyFill="1" applyBorder="1" applyAlignment="1">
      <alignment horizontal="right" vertical="center" shrinkToFit="1"/>
    </xf>
    <xf numFmtId="179" fontId="58" fillId="2" borderId="103" xfId="1" applyNumberFormat="1" applyFont="1" applyFill="1" applyBorder="1" applyAlignment="1">
      <alignment horizontal="right" vertical="center" shrinkToFit="1"/>
    </xf>
    <xf numFmtId="179" fontId="29" fillId="2" borderId="77" xfId="1" applyNumberFormat="1" applyFont="1" applyFill="1" applyBorder="1" applyAlignment="1">
      <alignment horizontal="right" vertical="center" shrinkToFit="1"/>
    </xf>
    <xf numFmtId="41" fontId="28" fillId="2" borderId="49" xfId="1" applyFont="1" applyFill="1" applyBorder="1" applyAlignment="1">
      <alignment vertical="center" shrinkToFit="1"/>
    </xf>
    <xf numFmtId="41" fontId="28" fillId="2" borderId="68" xfId="1" applyFont="1" applyFill="1" applyBorder="1" applyAlignment="1">
      <alignment vertical="center" shrinkToFit="1"/>
    </xf>
    <xf numFmtId="179" fontId="29" fillId="2" borderId="72" xfId="1" applyNumberFormat="1" applyFont="1" applyFill="1" applyBorder="1" applyAlignment="1">
      <alignment horizontal="right" vertical="center" shrinkToFit="1"/>
    </xf>
    <xf numFmtId="183" fontId="27" fillId="2" borderId="48" xfId="1" applyNumberFormat="1" applyFont="1" applyFill="1" applyBorder="1" applyAlignment="1">
      <alignment horizontal="right" vertical="center" shrinkToFit="1"/>
    </xf>
    <xf numFmtId="0" fontId="18" fillId="2" borderId="0" xfId="0" applyFont="1" applyFill="1"/>
    <xf numFmtId="0" fontId="0" fillId="2" borderId="0" xfId="0" applyFill="1"/>
    <xf numFmtId="41" fontId="18" fillId="2" borderId="62" xfId="0" applyNumberFormat="1" applyFont="1" applyFill="1" applyBorder="1"/>
    <xf numFmtId="184" fontId="18" fillId="2" borderId="62" xfId="0" applyNumberFormat="1" applyFont="1" applyFill="1" applyBorder="1"/>
    <xf numFmtId="0" fontId="18" fillId="2" borderId="62" xfId="0" applyFont="1" applyFill="1" applyBorder="1"/>
    <xf numFmtId="0" fontId="21" fillId="2" borderId="107" xfId="1" applyNumberFormat="1" applyFont="1" applyFill="1" applyBorder="1" applyAlignment="1">
      <alignment horizontal="center" vertical="center" wrapText="1" shrinkToFit="1"/>
    </xf>
    <xf numFmtId="0" fontId="19" fillId="2" borderId="47" xfId="1" applyNumberFormat="1" applyFont="1" applyFill="1" applyBorder="1" applyAlignment="1">
      <alignment horizontal="center" vertical="center" wrapText="1" shrinkToFit="1"/>
    </xf>
    <xf numFmtId="0" fontId="37" fillId="16" borderId="0" xfId="0" applyFont="1" applyFill="1" applyAlignment="1">
      <alignment horizontal="center" vertical="center" shrinkToFit="1"/>
    </xf>
    <xf numFmtId="41" fontId="23" fillId="0" borderId="63" xfId="1" quotePrefix="1" applyFont="1" applyFill="1" applyBorder="1" applyAlignment="1">
      <alignment horizontal="center" vertical="center" shrinkToFit="1"/>
    </xf>
    <xf numFmtId="180" fontId="23" fillId="0" borderId="53" xfId="0" quotePrefix="1" applyNumberFormat="1" applyFont="1" applyBorder="1" applyAlignment="1">
      <alignment horizontal="center" vertical="center" shrinkToFit="1"/>
    </xf>
    <xf numFmtId="41" fontId="19" fillId="0" borderId="53" xfId="1" applyFont="1" applyBorder="1" applyAlignment="1">
      <alignment vertical="center" shrinkToFit="1"/>
    </xf>
    <xf numFmtId="41" fontId="19" fillId="0" borderId="53" xfId="1" applyFont="1" applyFill="1" applyBorder="1" applyAlignment="1">
      <alignment vertical="center" shrinkToFit="1"/>
    </xf>
    <xf numFmtId="41" fontId="0" fillId="0" borderId="0" xfId="1" applyFont="1"/>
    <xf numFmtId="0" fontId="46" fillId="17" borderId="0" xfId="0" applyFont="1" applyFill="1" applyAlignment="1">
      <alignment vertical="center"/>
    </xf>
    <xf numFmtId="0" fontId="49" fillId="17" borderId="0" xfId="0" applyFont="1" applyFill="1" applyAlignment="1">
      <alignment vertical="center"/>
    </xf>
    <xf numFmtId="0" fontId="46" fillId="18" borderId="0" xfId="0" applyFont="1" applyFill="1" applyAlignment="1">
      <alignment vertical="center"/>
    </xf>
    <xf numFmtId="0" fontId="49" fillId="18" borderId="0" xfId="0" applyFont="1" applyFill="1" applyAlignment="1">
      <alignment vertical="center"/>
    </xf>
    <xf numFmtId="0" fontId="23" fillId="18" borderId="0" xfId="0" applyFont="1" applyFill="1" applyAlignment="1">
      <alignment vertical="center"/>
    </xf>
    <xf numFmtId="0" fontId="23" fillId="0" borderId="58" xfId="0" applyFont="1" applyBorder="1" applyAlignment="1">
      <alignment horizontal="center" vertical="center"/>
    </xf>
    <xf numFmtId="180" fontId="44" fillId="0" borderId="85" xfId="0" quotePrefix="1" applyNumberFormat="1" applyFont="1" applyBorder="1" applyAlignment="1">
      <alignment horizontal="center" vertical="center" shrinkToFit="1"/>
    </xf>
    <xf numFmtId="41" fontId="23" fillId="0" borderId="104" xfId="1" quotePrefix="1" applyFont="1" applyBorder="1" applyAlignment="1">
      <alignment horizontal="center" vertical="center" shrinkToFit="1"/>
    </xf>
    <xf numFmtId="41" fontId="22" fillId="0" borderId="110" xfId="1" applyFont="1" applyBorder="1" applyAlignment="1">
      <alignment vertical="center" shrinkToFit="1"/>
    </xf>
    <xf numFmtId="41" fontId="8" fillId="0" borderId="112" xfId="1" applyFont="1" applyBorder="1" applyAlignment="1">
      <alignment horizontal="center" vertical="center"/>
    </xf>
    <xf numFmtId="0" fontId="8" fillId="0" borderId="1" xfId="1" applyNumberFormat="1" applyFont="1" applyBorder="1" applyAlignment="1">
      <alignment vertical="center" wrapText="1"/>
    </xf>
    <xf numFmtId="41" fontId="10" fillId="0" borderId="111" xfId="1" applyFont="1" applyFill="1" applyBorder="1" applyAlignment="1">
      <alignment horizontal="center" vertical="center"/>
    </xf>
    <xf numFmtId="41" fontId="39" fillId="0" borderId="65" xfId="1" applyFont="1" applyBorder="1" applyAlignment="1">
      <alignment vertical="center" shrinkToFit="1"/>
    </xf>
    <xf numFmtId="0" fontId="36" fillId="16" borderId="82" xfId="0" applyFont="1" applyFill="1" applyBorder="1" applyAlignment="1">
      <alignment horizontal="center" vertical="center" shrinkToFit="1"/>
    </xf>
    <xf numFmtId="180" fontId="23" fillId="0" borderId="110" xfId="0" quotePrefix="1" applyNumberFormat="1" applyFont="1" applyBorder="1" applyAlignment="1">
      <alignment horizontal="center" vertical="center" shrinkToFit="1"/>
    </xf>
    <xf numFmtId="180" fontId="23" fillId="14" borderId="109" xfId="0" quotePrefix="1" applyNumberFormat="1" applyFont="1" applyFill="1" applyBorder="1" applyAlignment="1">
      <alignment horizontal="center" vertical="center" shrinkToFit="1"/>
    </xf>
    <xf numFmtId="180" fontId="44" fillId="14" borderId="108" xfId="0" quotePrefix="1" applyNumberFormat="1" applyFont="1" applyFill="1" applyBorder="1" applyAlignment="1">
      <alignment horizontal="center" vertical="center" shrinkToFit="1"/>
    </xf>
    <xf numFmtId="180" fontId="19" fillId="14" borderId="64" xfId="0" quotePrefix="1" applyNumberFormat="1" applyFont="1" applyFill="1" applyBorder="1" applyAlignment="1">
      <alignment horizontal="center" vertical="center" shrinkToFit="1"/>
    </xf>
    <xf numFmtId="26" fontId="40" fillId="0" borderId="54" xfId="1" applyNumberFormat="1" applyFont="1" applyBorder="1" applyAlignment="1">
      <alignment vertical="center" shrinkToFit="1"/>
    </xf>
    <xf numFmtId="0" fontId="66" fillId="0" borderId="110" xfId="0" applyFont="1" applyBorder="1" applyAlignment="1">
      <alignment horizontal="center"/>
    </xf>
    <xf numFmtId="0" fontId="68" fillId="19" borderId="48" xfId="0" applyFont="1" applyFill="1" applyBorder="1" applyAlignment="1">
      <alignment vertical="center" shrinkToFit="1"/>
    </xf>
    <xf numFmtId="0" fontId="22" fillId="0" borderId="0" xfId="0" applyFont="1" applyAlignment="1">
      <alignment vertical="center"/>
    </xf>
    <xf numFmtId="0" fontId="51" fillId="13" borderId="0" xfId="0" applyFont="1" applyFill="1" applyAlignment="1">
      <alignment vertical="center"/>
    </xf>
    <xf numFmtId="0" fontId="54" fillId="0" borderId="0" xfId="0" applyFont="1" applyAlignment="1">
      <alignment vertical="center"/>
    </xf>
    <xf numFmtId="0" fontId="36" fillId="16" borderId="11" xfId="0" applyFont="1" applyFill="1" applyBorder="1" applyAlignment="1">
      <alignment horizontal="center" vertical="center" shrinkToFit="1"/>
    </xf>
    <xf numFmtId="0" fontId="36" fillId="16" borderId="23" xfId="0" applyFont="1" applyFill="1" applyBorder="1" applyAlignment="1">
      <alignment horizontal="center" vertical="center" shrinkToFit="1"/>
    </xf>
    <xf numFmtId="41" fontId="22" fillId="0" borderId="65" xfId="1" applyFont="1" applyBorder="1" applyAlignment="1">
      <alignment vertical="center" shrinkToFit="1"/>
    </xf>
    <xf numFmtId="0" fontId="36" fillId="16" borderId="37" xfId="0" applyFont="1" applyFill="1" applyBorder="1" applyAlignment="1">
      <alignment horizontal="center" vertical="center" shrinkToFit="1"/>
    </xf>
    <xf numFmtId="180" fontId="44" fillId="14" borderId="88" xfId="0" quotePrefix="1" applyNumberFormat="1" applyFont="1" applyFill="1" applyBorder="1" applyAlignment="1">
      <alignment horizontal="center" vertical="center" shrinkToFit="1"/>
    </xf>
    <xf numFmtId="41" fontId="23" fillId="0" borderId="53" xfId="1" quotePrefix="1" applyFont="1" applyFill="1" applyBorder="1" applyAlignment="1">
      <alignment horizontal="right" vertical="center" shrinkToFit="1"/>
    </xf>
    <xf numFmtId="41" fontId="22" fillId="0" borderId="84" xfId="1" applyFont="1" applyBorder="1" applyAlignment="1">
      <alignment vertical="center" shrinkToFit="1"/>
    </xf>
    <xf numFmtId="41" fontId="23" fillId="0" borderId="88" xfId="0" quotePrefix="1" applyNumberFormat="1" applyFont="1" applyBorder="1" applyAlignment="1">
      <alignment horizontal="right" vertical="center" shrinkToFit="1"/>
    </xf>
    <xf numFmtId="41" fontId="23" fillId="0" borderId="116" xfId="1" quotePrefix="1" applyFont="1" applyBorder="1" applyAlignment="1">
      <alignment horizontal="center" vertical="center" shrinkToFit="1"/>
    </xf>
    <xf numFmtId="41" fontId="23" fillId="0" borderId="35" xfId="1" quotePrefix="1" applyFont="1" applyBorder="1" applyAlignment="1">
      <alignment horizontal="center" vertical="center" shrinkToFit="1"/>
    </xf>
    <xf numFmtId="180" fontId="23" fillId="0" borderId="44" xfId="0" quotePrefix="1" applyNumberFormat="1" applyFont="1" applyBorder="1" applyAlignment="1">
      <alignment horizontal="center" vertical="center" shrinkToFit="1"/>
    </xf>
    <xf numFmtId="177" fontId="40" fillId="0" borderId="118" xfId="1" applyNumberFormat="1" applyFont="1" applyBorder="1" applyAlignment="1">
      <alignment vertical="center" shrinkToFit="1"/>
    </xf>
    <xf numFmtId="41" fontId="23" fillId="0" borderId="59" xfId="1" quotePrefix="1" applyFont="1" applyFill="1" applyBorder="1" applyAlignment="1">
      <alignment horizontal="center" vertical="center" shrinkToFit="1"/>
    </xf>
    <xf numFmtId="0" fontId="36" fillId="0" borderId="43" xfId="0" applyFont="1" applyBorder="1" applyAlignment="1">
      <alignment horizontal="center" vertical="center" shrinkToFit="1"/>
    </xf>
    <xf numFmtId="41" fontId="23" fillId="0" borderId="116" xfId="1" quotePrefix="1" applyFont="1" applyFill="1" applyBorder="1" applyAlignment="1">
      <alignment horizontal="center" vertical="center" shrinkToFit="1"/>
    </xf>
    <xf numFmtId="26" fontId="40" fillId="0" borderId="118" xfId="1" applyNumberFormat="1" applyFont="1" applyFill="1" applyBorder="1" applyAlignment="1">
      <alignment vertical="center" shrinkToFit="1"/>
    </xf>
    <xf numFmtId="26" fontId="40" fillId="0" borderId="118" xfId="1" applyNumberFormat="1" applyFont="1" applyBorder="1" applyAlignment="1">
      <alignment vertical="center" shrinkToFit="1"/>
    </xf>
    <xf numFmtId="180" fontId="19" fillId="0" borderId="52" xfId="0" quotePrefix="1" applyNumberFormat="1" applyFont="1" applyBorder="1" applyAlignment="1">
      <alignment horizontal="center" vertical="center" shrinkToFit="1"/>
    </xf>
    <xf numFmtId="177" fontId="69" fillId="0" borderId="0" xfId="1" applyNumberFormat="1" applyFont="1" applyBorder="1" applyAlignment="1">
      <alignment horizontal="center" vertical="center" shrinkToFit="1"/>
    </xf>
    <xf numFmtId="0" fontId="12" fillId="0" borderId="11" xfId="0" applyFont="1" applyBorder="1" applyAlignment="1">
      <alignment horizontal="center" vertical="center" wrapText="1"/>
    </xf>
    <xf numFmtId="176" fontId="23" fillId="0" borderId="116" xfId="1" quotePrefix="1" applyNumberFormat="1" applyFont="1" applyBorder="1" applyAlignment="1">
      <alignment horizontal="right" vertical="center" shrinkToFit="1"/>
    </xf>
    <xf numFmtId="41" fontId="39" fillId="3" borderId="108" xfId="1" applyFont="1" applyFill="1" applyBorder="1" applyAlignment="1">
      <alignment horizontal="center" vertical="center"/>
    </xf>
    <xf numFmtId="41" fontId="39" fillId="3" borderId="85" xfId="1" applyFont="1" applyFill="1" applyBorder="1" applyAlignment="1">
      <alignment horizontal="center" vertical="center"/>
    </xf>
    <xf numFmtId="41" fontId="39" fillId="3" borderId="90" xfId="1" applyFont="1" applyFill="1" applyBorder="1" applyAlignment="1">
      <alignment horizontal="center" vertical="center"/>
    </xf>
    <xf numFmtId="41" fontId="23" fillId="0" borderId="63" xfId="1" quotePrefix="1" applyFont="1" applyFill="1" applyBorder="1" applyAlignment="1">
      <alignment horizontal="right" vertical="center" shrinkToFit="1"/>
    </xf>
    <xf numFmtId="41" fontId="23" fillId="0" borderId="58" xfId="1" quotePrefix="1" applyFont="1" applyFill="1" applyBorder="1" applyAlignment="1">
      <alignment horizontal="right" vertical="center" shrinkToFit="1"/>
    </xf>
    <xf numFmtId="41" fontId="39" fillId="3" borderId="104" xfId="1" applyFont="1" applyFill="1" applyBorder="1" applyAlignment="1">
      <alignment horizontal="center" vertical="center"/>
    </xf>
    <xf numFmtId="41" fontId="19" fillId="0" borderId="62" xfId="1" applyFont="1" applyFill="1" applyBorder="1" applyAlignment="1">
      <alignment vertical="center" shrinkToFit="1"/>
    </xf>
    <xf numFmtId="41" fontId="19" fillId="0" borderId="62" xfId="1" applyFont="1" applyBorder="1" applyAlignment="1">
      <alignment vertical="center" shrinkToFit="1"/>
    </xf>
    <xf numFmtId="41" fontId="13" fillId="0" borderId="19" xfId="1" applyFont="1" applyBorder="1" applyAlignment="1">
      <alignment horizontal="center" vertical="center" wrapText="1"/>
    </xf>
    <xf numFmtId="41" fontId="8" fillId="0" borderId="117" xfId="1" applyFont="1" applyFill="1" applyBorder="1" applyAlignment="1">
      <alignment horizontal="center" vertical="center" wrapText="1"/>
    </xf>
    <xf numFmtId="178" fontId="8" fillId="0" borderId="35" xfId="1" quotePrefix="1" applyNumberFormat="1" applyFont="1" applyBorder="1" applyAlignment="1">
      <alignment horizontal="center" vertical="center" wrapText="1"/>
    </xf>
    <xf numFmtId="26" fontId="68" fillId="0" borderId="0" xfId="1" applyNumberFormat="1" applyFont="1" applyFill="1" applyBorder="1" applyAlignment="1">
      <alignment vertical="center" shrinkToFit="1"/>
    </xf>
    <xf numFmtId="41" fontId="23" fillId="0" borderId="108" xfId="0" quotePrefix="1" applyNumberFormat="1" applyFont="1" applyBorder="1" applyAlignment="1">
      <alignment horizontal="right" vertical="center" shrinkToFit="1"/>
    </xf>
    <xf numFmtId="41" fontId="23" fillId="0" borderId="85" xfId="1" quotePrefix="1" applyFont="1" applyFill="1" applyBorder="1" applyAlignment="1">
      <alignment horizontal="right" vertical="center" shrinkToFit="1"/>
    </xf>
    <xf numFmtId="41" fontId="23" fillId="0" borderId="104" xfId="1" quotePrefix="1" applyFont="1" applyBorder="1" applyAlignment="1">
      <alignment horizontal="right" vertical="center" shrinkToFit="1"/>
    </xf>
    <xf numFmtId="41" fontId="22" fillId="0" borderId="86" xfId="1" applyFont="1" applyBorder="1" applyAlignment="1">
      <alignment vertical="center" shrinkToFit="1"/>
    </xf>
    <xf numFmtId="0" fontId="23" fillId="14" borderId="53" xfId="0" applyFont="1" applyFill="1" applyBorder="1" applyAlignment="1">
      <alignment horizontal="center" vertical="center"/>
    </xf>
    <xf numFmtId="180" fontId="23" fillId="14" borderId="85" xfId="0" quotePrefix="1" applyNumberFormat="1" applyFont="1" applyFill="1" applyBorder="1" applyAlignment="1">
      <alignment horizontal="center" vertical="center" shrinkToFit="1"/>
    </xf>
    <xf numFmtId="180" fontId="44" fillId="14" borderId="85" xfId="0" quotePrefix="1" applyNumberFormat="1" applyFont="1" applyFill="1" applyBorder="1" applyAlignment="1">
      <alignment horizontal="center" vertical="center" shrinkToFit="1"/>
    </xf>
    <xf numFmtId="180" fontId="19" fillId="14" borderId="62" xfId="0" quotePrefix="1" applyNumberFormat="1" applyFont="1" applyFill="1" applyBorder="1" applyAlignment="1">
      <alignment horizontal="center" vertical="center" shrinkToFit="1"/>
    </xf>
    <xf numFmtId="26" fontId="40" fillId="0" borderId="89" xfId="1" applyNumberFormat="1" applyFont="1" applyBorder="1" applyAlignment="1">
      <alignment vertical="center" shrinkToFit="1"/>
    </xf>
    <xf numFmtId="41" fontId="33" fillId="0" borderId="0" xfId="0" applyNumberFormat="1" applyFont="1"/>
    <xf numFmtId="41" fontId="19" fillId="14" borderId="53" xfId="1" quotePrefix="1" applyFont="1" applyFill="1" applyBorder="1" applyAlignment="1">
      <alignment horizontal="center" vertical="center" shrinkToFit="1"/>
    </xf>
    <xf numFmtId="41" fontId="19" fillId="14" borderId="62" xfId="1" quotePrefix="1" applyFont="1" applyFill="1" applyBorder="1" applyAlignment="1">
      <alignment horizontal="center" vertical="center" shrinkToFit="1"/>
    </xf>
    <xf numFmtId="41" fontId="39" fillId="0" borderId="84" xfId="1" applyFont="1" applyBorder="1" applyAlignment="1">
      <alignment vertical="center" shrinkToFit="1"/>
    </xf>
    <xf numFmtId="41" fontId="39" fillId="3" borderId="85" xfId="0" applyNumberFormat="1" applyFont="1" applyFill="1" applyBorder="1" applyAlignment="1">
      <alignment vertical="center"/>
    </xf>
    <xf numFmtId="41" fontId="39" fillId="3" borderId="86" xfId="0" applyNumberFormat="1" applyFont="1" applyFill="1" applyBorder="1" applyAlignment="1">
      <alignment vertical="center"/>
    </xf>
    <xf numFmtId="41" fontId="14" fillId="0" borderId="0" xfId="1" applyFont="1" applyAlignment="1">
      <alignment vertical="center"/>
    </xf>
    <xf numFmtId="176" fontId="23" fillId="0" borderId="85" xfId="1" quotePrefix="1" applyNumberFormat="1" applyFont="1" applyBorder="1" applyAlignment="1">
      <alignment horizontal="right" vertical="center" shrinkToFit="1"/>
    </xf>
    <xf numFmtId="176" fontId="23" fillId="0" borderId="62" xfId="1" quotePrefix="1" applyNumberFormat="1" applyFont="1" applyBorder="1" applyAlignment="1">
      <alignment horizontal="right" vertical="center" shrinkToFit="1"/>
    </xf>
    <xf numFmtId="41" fontId="22" fillId="0" borderId="105" xfId="1" applyFont="1" applyBorder="1" applyAlignment="1">
      <alignment vertical="center" shrinkToFit="1"/>
    </xf>
    <xf numFmtId="0" fontId="36" fillId="16" borderId="119" xfId="0" applyFont="1" applyFill="1" applyBorder="1" applyAlignment="1">
      <alignment horizontal="center" vertical="center" shrinkToFit="1"/>
    </xf>
    <xf numFmtId="180" fontId="19" fillId="0" borderId="120" xfId="0" quotePrefix="1" applyNumberFormat="1" applyFont="1" applyBorder="1" applyAlignment="1">
      <alignment horizontal="center" vertical="center" shrinkToFit="1"/>
    </xf>
    <xf numFmtId="176" fontId="23" fillId="0" borderId="120" xfId="1" quotePrefix="1" applyNumberFormat="1" applyFont="1" applyFill="1" applyBorder="1" applyAlignment="1">
      <alignment horizontal="right" vertical="center" shrinkToFit="1"/>
    </xf>
    <xf numFmtId="41" fontId="22" fillId="0" borderId="121" xfId="1" applyFont="1" applyBorder="1" applyAlignment="1">
      <alignment vertical="center" shrinkToFit="1"/>
    </xf>
    <xf numFmtId="177" fontId="40" fillId="0" borderId="115" xfId="1" applyNumberFormat="1" applyFont="1" applyBorder="1" applyAlignment="1">
      <alignment vertical="center" shrinkToFit="1"/>
    </xf>
    <xf numFmtId="0" fontId="36" fillId="16" borderId="122" xfId="0" applyFont="1" applyFill="1" applyBorder="1" applyAlignment="1">
      <alignment horizontal="center" vertical="center" shrinkToFit="1"/>
    </xf>
    <xf numFmtId="41" fontId="19" fillId="0" borderId="52" xfId="1" applyFont="1" applyFill="1" applyBorder="1" applyAlignment="1">
      <alignment vertical="center" shrinkToFit="1"/>
    </xf>
    <xf numFmtId="41" fontId="19" fillId="0" borderId="31" xfId="1" applyFont="1" applyFill="1" applyBorder="1" applyAlignment="1">
      <alignment vertical="center" shrinkToFit="1"/>
    </xf>
    <xf numFmtId="177" fontId="40" fillId="0" borderId="123" xfId="1" applyNumberFormat="1" applyFont="1" applyBorder="1" applyAlignment="1">
      <alignment vertical="center" shrinkToFit="1"/>
    </xf>
    <xf numFmtId="0" fontId="36" fillId="16" borderId="124" xfId="0" applyFont="1" applyFill="1" applyBorder="1" applyAlignment="1">
      <alignment horizontal="center" vertical="center" shrinkToFit="1"/>
    </xf>
    <xf numFmtId="180" fontId="23" fillId="0" borderId="125" xfId="0" quotePrefix="1" applyNumberFormat="1" applyFont="1" applyBorder="1" applyAlignment="1">
      <alignment horizontal="center" vertical="center" shrinkToFit="1"/>
    </xf>
    <xf numFmtId="180" fontId="44" fillId="14" borderId="126" xfId="0" quotePrefix="1" applyNumberFormat="1" applyFont="1" applyFill="1" applyBorder="1" applyAlignment="1">
      <alignment horizontal="center" vertical="center" shrinkToFit="1"/>
    </xf>
    <xf numFmtId="41" fontId="23" fillId="0" borderId="126" xfId="0" quotePrefix="1" applyNumberFormat="1" applyFont="1" applyBorder="1" applyAlignment="1">
      <alignment horizontal="right" vertical="center" shrinkToFit="1"/>
    </xf>
    <xf numFmtId="41" fontId="23" fillId="0" borderId="125" xfId="1" quotePrefix="1" applyFont="1" applyFill="1" applyBorder="1" applyAlignment="1">
      <alignment horizontal="right" vertical="center" shrinkToFit="1"/>
    </xf>
    <xf numFmtId="41" fontId="23" fillId="0" borderId="127" xfId="1" quotePrefix="1" applyFont="1" applyFill="1" applyBorder="1" applyAlignment="1">
      <alignment horizontal="right" vertical="center" shrinkToFit="1"/>
    </xf>
    <xf numFmtId="41" fontId="22" fillId="0" borderId="128" xfId="1" applyFont="1" applyBorder="1" applyAlignment="1">
      <alignment vertical="center" shrinkToFit="1"/>
    </xf>
    <xf numFmtId="26" fontId="40" fillId="0" borderId="129" xfId="1" applyNumberFormat="1" applyFont="1" applyBorder="1" applyAlignment="1">
      <alignment vertical="center" shrinkToFit="1"/>
    </xf>
    <xf numFmtId="0" fontId="43" fillId="16" borderId="130" xfId="0" applyFont="1" applyFill="1" applyBorder="1" applyAlignment="1">
      <alignment horizontal="center" vertical="center" shrinkToFit="1"/>
    </xf>
    <xf numFmtId="180" fontId="23" fillId="0" borderId="92" xfId="0" quotePrefix="1" applyNumberFormat="1" applyFont="1" applyBorder="1" applyAlignment="1">
      <alignment horizontal="center" vertical="center" shrinkToFit="1"/>
    </xf>
    <xf numFmtId="41" fontId="19" fillId="14" borderId="92" xfId="1" quotePrefix="1" applyFont="1" applyFill="1" applyBorder="1" applyAlignment="1">
      <alignment horizontal="center" vertical="center" shrinkToFit="1"/>
    </xf>
    <xf numFmtId="41" fontId="19" fillId="0" borderId="92" xfId="1" applyFont="1" applyFill="1" applyBorder="1" applyAlignment="1">
      <alignment vertical="center" shrinkToFit="1"/>
    </xf>
    <xf numFmtId="41" fontId="19" fillId="0" borderId="92" xfId="1" applyFont="1" applyBorder="1" applyAlignment="1">
      <alignment vertical="center" shrinkToFit="1"/>
    </xf>
    <xf numFmtId="41" fontId="39" fillId="0" borderId="131" xfId="1" applyFont="1" applyBorder="1" applyAlignment="1">
      <alignment vertical="center" shrinkToFit="1"/>
    </xf>
    <xf numFmtId="26" fontId="40" fillId="0" borderId="92" xfId="1" applyNumberFormat="1" applyFont="1" applyBorder="1" applyAlignment="1">
      <alignment vertical="center" shrinkToFit="1"/>
    </xf>
    <xf numFmtId="0" fontId="43" fillId="16" borderId="133" xfId="0" applyFont="1" applyFill="1" applyBorder="1" applyAlignment="1">
      <alignment horizontal="center" vertical="center" shrinkToFit="1"/>
    </xf>
    <xf numFmtId="26" fontId="40" fillId="0" borderId="53" xfId="1" applyNumberFormat="1" applyFont="1" applyBorder="1" applyAlignment="1">
      <alignment vertical="center" shrinkToFit="1"/>
    </xf>
    <xf numFmtId="41" fontId="19" fillId="14" borderId="125" xfId="1" quotePrefix="1" applyFont="1" applyFill="1" applyBorder="1" applyAlignment="1">
      <alignment horizontal="center" vertical="center" shrinkToFit="1"/>
    </xf>
    <xf numFmtId="41" fontId="19" fillId="0" borderId="125" xfId="1" applyFont="1" applyFill="1" applyBorder="1" applyAlignment="1">
      <alignment vertical="center" shrinkToFit="1"/>
    </xf>
    <xf numFmtId="41" fontId="19" fillId="0" borderId="125" xfId="1" applyFont="1" applyBorder="1" applyAlignment="1">
      <alignment vertical="center" shrinkToFit="1"/>
    </xf>
    <xf numFmtId="41" fontId="39" fillId="0" borderId="128" xfId="1" applyFont="1" applyBorder="1" applyAlignment="1">
      <alignment vertical="center" shrinkToFit="1"/>
    </xf>
    <xf numFmtId="26" fontId="40" fillId="0" borderId="125" xfId="1" applyNumberFormat="1" applyFont="1" applyBorder="1" applyAlignment="1">
      <alignment vertical="center" shrinkToFit="1"/>
    </xf>
    <xf numFmtId="0" fontId="43" fillId="16" borderId="132" xfId="0" applyFont="1" applyFill="1" applyBorder="1" applyAlignment="1">
      <alignment horizontal="center" vertical="center" shrinkToFit="1"/>
    </xf>
    <xf numFmtId="180" fontId="44" fillId="14" borderId="135" xfId="0" quotePrefix="1" applyNumberFormat="1" applyFont="1" applyFill="1" applyBorder="1" applyAlignment="1">
      <alignment horizontal="center" vertical="center" shrinkToFit="1"/>
    </xf>
    <xf numFmtId="41" fontId="23" fillId="0" borderId="135" xfId="0" quotePrefix="1" applyNumberFormat="1" applyFont="1" applyBorder="1" applyAlignment="1">
      <alignment horizontal="right" vertical="center" shrinkToFit="1"/>
    </xf>
    <xf numFmtId="41" fontId="23" fillId="0" borderId="92" xfId="1" quotePrefix="1" applyFont="1" applyFill="1" applyBorder="1" applyAlignment="1">
      <alignment horizontal="right" vertical="center" shrinkToFit="1"/>
    </xf>
    <xf numFmtId="41" fontId="23" fillId="0" borderId="99" xfId="1" quotePrefix="1" applyFont="1" applyFill="1" applyBorder="1" applyAlignment="1">
      <alignment horizontal="right" vertical="center" shrinkToFit="1"/>
    </xf>
    <xf numFmtId="41" fontId="22" fillId="0" borderId="131" xfId="1" applyFont="1" applyBorder="1" applyAlignment="1">
      <alignment vertical="center" shrinkToFit="1"/>
    </xf>
    <xf numFmtId="26" fontId="40" fillId="0" borderId="134" xfId="1" applyNumberFormat="1" applyFont="1" applyBorder="1" applyAlignment="1">
      <alignment vertical="center" shrinkToFit="1"/>
    </xf>
    <xf numFmtId="41" fontId="23" fillId="0" borderId="104" xfId="1" quotePrefix="1" applyFont="1" applyFill="1" applyBorder="1" applyAlignment="1">
      <alignment horizontal="right" vertical="center" shrinkToFit="1"/>
    </xf>
    <xf numFmtId="180" fontId="23" fillId="0" borderId="54" xfId="0" quotePrefix="1" applyNumberFormat="1" applyFont="1" applyBorder="1" applyAlignment="1">
      <alignment horizontal="center" vertical="center" shrinkToFit="1"/>
    </xf>
    <xf numFmtId="180" fontId="23" fillId="14" borderId="54" xfId="0" quotePrefix="1" applyNumberFormat="1" applyFont="1" applyFill="1" applyBorder="1" applyAlignment="1">
      <alignment horizontal="center" vertical="center" shrinkToFit="1"/>
    </xf>
    <xf numFmtId="41" fontId="23" fillId="0" borderId="81" xfId="1" quotePrefix="1" applyFont="1" applyFill="1" applyBorder="1" applyAlignment="1">
      <alignment horizontal="center" vertical="center" shrinkToFit="1"/>
    </xf>
    <xf numFmtId="0" fontId="68" fillId="19" borderId="136" xfId="0" applyFont="1" applyFill="1" applyBorder="1" applyAlignment="1">
      <alignment vertical="center" shrinkToFit="1"/>
    </xf>
    <xf numFmtId="180" fontId="23" fillId="14" borderId="52" xfId="0" quotePrefix="1" applyNumberFormat="1" applyFont="1" applyFill="1" applyBorder="1" applyAlignment="1">
      <alignment horizontal="center" vertical="center" shrinkToFit="1"/>
    </xf>
    <xf numFmtId="41" fontId="23" fillId="0" borderId="31" xfId="1" quotePrefix="1" applyFont="1" applyFill="1" applyBorder="1" applyAlignment="1">
      <alignment horizontal="center" vertical="center" shrinkToFit="1"/>
    </xf>
    <xf numFmtId="41" fontId="4" fillId="0" borderId="91" xfId="1" applyFont="1" applyBorder="1" applyAlignment="1">
      <alignment vertical="center"/>
    </xf>
    <xf numFmtId="41" fontId="71" fillId="0" borderId="5" xfId="1" applyFont="1" applyBorder="1" applyAlignment="1">
      <alignment horizontal="center" vertical="center" shrinkToFit="1"/>
    </xf>
    <xf numFmtId="41" fontId="71" fillId="0" borderId="15" xfId="1" applyFont="1" applyBorder="1" applyAlignment="1">
      <alignment vertical="center"/>
    </xf>
    <xf numFmtId="41" fontId="4" fillId="21" borderId="38" xfId="1" applyFont="1" applyFill="1" applyBorder="1" applyAlignment="1">
      <alignment vertical="center"/>
    </xf>
    <xf numFmtId="41" fontId="4" fillId="21" borderId="34" xfId="1" applyFont="1" applyFill="1" applyBorder="1" applyAlignment="1">
      <alignment vertical="center"/>
    </xf>
    <xf numFmtId="41" fontId="71" fillId="21" borderId="138" xfId="1" applyFont="1" applyFill="1" applyBorder="1" applyAlignment="1">
      <alignment vertical="center"/>
    </xf>
    <xf numFmtId="41" fontId="4" fillId="0" borderId="140" xfId="1" applyFont="1" applyBorder="1" applyAlignment="1">
      <alignment vertical="center"/>
    </xf>
    <xf numFmtId="41" fontId="4" fillId="21" borderId="139" xfId="1" applyFont="1" applyFill="1" applyBorder="1" applyAlignment="1">
      <alignment vertical="center"/>
    </xf>
    <xf numFmtId="26" fontId="40" fillId="0" borderId="44" xfId="1" applyNumberFormat="1" applyFont="1" applyBorder="1" applyAlignment="1">
      <alignment vertical="center" shrinkToFit="1"/>
    </xf>
    <xf numFmtId="41" fontId="71" fillId="0" borderId="141" xfId="1" applyFont="1" applyBorder="1" applyAlignment="1">
      <alignment horizontal="center" vertical="center" shrinkToFit="1"/>
    </xf>
    <xf numFmtId="41" fontId="4" fillId="0" borderId="100" xfId="1" applyFont="1" applyBorder="1" applyAlignment="1">
      <alignment vertical="center"/>
    </xf>
    <xf numFmtId="41" fontId="4" fillId="0" borderId="142" xfId="1" applyFont="1" applyBorder="1" applyAlignment="1">
      <alignment vertical="center"/>
    </xf>
    <xf numFmtId="41" fontId="71" fillId="0" borderId="143" xfId="1" applyFont="1" applyBorder="1" applyAlignment="1">
      <alignment vertical="center"/>
    </xf>
    <xf numFmtId="41" fontId="10" fillId="0" borderId="144" xfId="1" applyFont="1" applyFill="1" applyBorder="1" applyAlignment="1">
      <alignment horizontal="center" vertical="center"/>
    </xf>
    <xf numFmtId="177" fontId="8" fillId="0" borderId="145" xfId="1" applyNumberFormat="1" applyFont="1" applyBorder="1" applyAlignment="1">
      <alignment horizontal="center" vertical="center" wrapText="1"/>
    </xf>
    <xf numFmtId="41" fontId="8" fillId="0" borderId="17" xfId="1" applyFont="1" applyFill="1" applyBorder="1" applyAlignment="1">
      <alignment horizontal="center" vertical="center" wrapText="1"/>
    </xf>
    <xf numFmtId="0" fontId="70" fillId="0" borderId="146" xfId="1" applyNumberFormat="1" applyFont="1" applyFill="1" applyBorder="1" applyAlignment="1">
      <alignment vertical="center" wrapText="1"/>
    </xf>
    <xf numFmtId="41" fontId="10" fillId="0" borderId="147" xfId="1" applyFont="1" applyFill="1" applyBorder="1" applyAlignment="1">
      <alignment horizontal="center" vertical="center"/>
    </xf>
    <xf numFmtId="177" fontId="8" fillId="0" borderId="148" xfId="1" applyNumberFormat="1" applyFont="1" applyBorder="1" applyAlignment="1">
      <alignment horizontal="center" vertical="center" wrapText="1"/>
    </xf>
    <xf numFmtId="41" fontId="8" fillId="0" borderId="148" xfId="1" applyFont="1" applyFill="1" applyBorder="1" applyAlignment="1">
      <alignment horizontal="center" vertical="center" wrapText="1"/>
    </xf>
    <xf numFmtId="0" fontId="70" fillId="0" borderId="133" xfId="1" applyNumberFormat="1" applyFont="1" applyFill="1" applyBorder="1" applyAlignment="1">
      <alignment vertical="center" wrapText="1"/>
    </xf>
    <xf numFmtId="176" fontId="23" fillId="0" borderId="35" xfId="1" quotePrefix="1" applyNumberFormat="1" applyFont="1" applyFill="1" applyBorder="1" applyAlignment="1">
      <alignment horizontal="right" vertical="center" shrinkToFit="1"/>
    </xf>
    <xf numFmtId="176" fontId="23" fillId="0" borderId="62" xfId="1" quotePrefix="1" applyNumberFormat="1" applyFont="1" applyFill="1" applyBorder="1" applyAlignment="1">
      <alignment horizontal="right" vertical="center" shrinkToFit="1"/>
    </xf>
    <xf numFmtId="0" fontId="37" fillId="16" borderId="130" xfId="0" applyFont="1" applyFill="1" applyBorder="1" applyAlignment="1">
      <alignment horizontal="center" vertical="center" shrinkToFit="1"/>
    </xf>
    <xf numFmtId="180" fontId="23" fillId="0" borderId="134" xfId="0" quotePrefix="1" applyNumberFormat="1" applyFont="1" applyBorder="1" applyAlignment="1">
      <alignment horizontal="center" vertical="center" shrinkToFit="1"/>
    </xf>
    <xf numFmtId="176" fontId="23" fillId="0" borderId="92" xfId="1" quotePrefix="1" applyNumberFormat="1" applyFont="1" applyFill="1" applyBorder="1" applyAlignment="1">
      <alignment horizontal="right" vertical="center" shrinkToFit="1"/>
    </xf>
    <xf numFmtId="176" fontId="23" fillId="0" borderId="151" xfId="1" quotePrefix="1" applyNumberFormat="1" applyFont="1" applyFill="1" applyBorder="1" applyAlignment="1">
      <alignment horizontal="right" vertical="center" shrinkToFit="1"/>
    </xf>
    <xf numFmtId="41" fontId="22" fillId="0" borderId="134" xfId="1" applyFont="1" applyBorder="1" applyAlignment="1">
      <alignment vertical="center" shrinkToFit="1"/>
    </xf>
    <xf numFmtId="177" fontId="40" fillId="0" borderId="5" xfId="1" applyNumberFormat="1" applyFont="1" applyBorder="1" applyAlignment="1">
      <alignment vertical="center" shrinkToFit="1"/>
    </xf>
    <xf numFmtId="0" fontId="37" fillId="16" borderId="133" xfId="0" applyFont="1" applyFill="1" applyBorder="1" applyAlignment="1">
      <alignment horizontal="center" vertical="center" shrinkToFit="1"/>
    </xf>
    <xf numFmtId="176" fontId="23" fillId="0" borderId="125" xfId="1" quotePrefix="1" applyNumberFormat="1" applyFont="1" applyFill="1" applyBorder="1" applyAlignment="1">
      <alignment horizontal="right" vertical="center" shrinkToFit="1"/>
    </xf>
    <xf numFmtId="176" fontId="23" fillId="0" borderId="152" xfId="1" quotePrefix="1" applyNumberFormat="1" applyFont="1" applyFill="1" applyBorder="1" applyAlignment="1">
      <alignment horizontal="right" vertical="center" shrinkToFit="1"/>
    </xf>
    <xf numFmtId="41" fontId="22" fillId="0" borderId="129" xfId="1" applyFont="1" applyBorder="1" applyAlignment="1">
      <alignment vertical="center" shrinkToFit="1"/>
    </xf>
    <xf numFmtId="177" fontId="40" fillId="0" borderId="1" xfId="1" applyNumberFormat="1" applyFont="1" applyBorder="1" applyAlignment="1">
      <alignment vertical="center" shrinkToFit="1"/>
    </xf>
    <xf numFmtId="41" fontId="71" fillId="20" borderId="137" xfId="1" applyFont="1" applyFill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41" fontId="8" fillId="0" borderId="23" xfId="1" applyFont="1" applyBorder="1" applyAlignment="1">
      <alignment horizontal="center" vertical="center" wrapText="1"/>
    </xf>
    <xf numFmtId="41" fontId="8" fillId="0" borderId="17" xfId="1" applyFont="1" applyBorder="1" applyAlignment="1">
      <alignment horizontal="center" vertical="center"/>
    </xf>
    <xf numFmtId="41" fontId="8" fillId="0" borderId="35" xfId="1" applyFont="1" applyBorder="1" applyAlignment="1">
      <alignment horizontal="center" vertical="center"/>
    </xf>
    <xf numFmtId="41" fontId="8" fillId="0" borderId="9" xfId="1" applyFont="1" applyBorder="1" applyAlignment="1">
      <alignment horizontal="center" vertical="center"/>
    </xf>
    <xf numFmtId="41" fontId="8" fillId="0" borderId="32" xfId="1" applyFont="1" applyBorder="1" applyAlignment="1">
      <alignment horizontal="center" vertical="center"/>
    </xf>
    <xf numFmtId="41" fontId="8" fillId="0" borderId="78" xfId="1" applyFont="1" applyBorder="1" applyAlignment="1">
      <alignment horizontal="center" vertical="center"/>
    </xf>
    <xf numFmtId="41" fontId="8" fillId="0" borderId="29" xfId="1" applyFont="1" applyBorder="1" applyAlignment="1">
      <alignment horizontal="center" vertical="center"/>
    </xf>
    <xf numFmtId="26" fontId="8" fillId="0" borderId="23" xfId="1" quotePrefix="1" applyNumberFormat="1" applyFont="1" applyBorder="1" applyAlignment="1">
      <alignment horizontal="center" vertical="center" wrapText="1"/>
    </xf>
    <xf numFmtId="26" fontId="8" fillId="0" borderId="17" xfId="1" applyNumberFormat="1" applyFont="1" applyBorder="1" applyAlignment="1">
      <alignment horizontal="center" vertical="center" wrapText="1"/>
    </xf>
    <xf numFmtId="26" fontId="8" fillId="0" borderId="35" xfId="1" applyNumberFormat="1" applyFont="1" applyBorder="1" applyAlignment="1">
      <alignment horizontal="center" vertical="center" wrapText="1"/>
    </xf>
    <xf numFmtId="41" fontId="8" fillId="0" borderId="149" xfId="1" applyFont="1" applyFill="1" applyBorder="1" applyAlignment="1">
      <alignment horizontal="center" vertical="center"/>
    </xf>
    <xf numFmtId="41" fontId="8" fillId="0" borderId="150" xfId="1" applyFont="1" applyFill="1" applyBorder="1" applyAlignment="1">
      <alignment horizontal="center" vertical="center"/>
    </xf>
    <xf numFmtId="41" fontId="13" fillId="0" borderId="24" xfId="1" applyFont="1" applyBorder="1" applyAlignment="1">
      <alignment horizontal="center" vertical="center"/>
    </xf>
    <xf numFmtId="41" fontId="13" fillId="0" borderId="19" xfId="1" applyFont="1" applyBorder="1" applyAlignment="1">
      <alignment horizontal="center" vertical="center"/>
    </xf>
    <xf numFmtId="41" fontId="71" fillId="20" borderId="137" xfId="1" applyFont="1" applyFill="1" applyBorder="1" applyAlignment="1">
      <alignment horizontal="center" vertical="center"/>
    </xf>
    <xf numFmtId="41" fontId="71" fillId="20" borderId="36" xfId="1" applyFont="1" applyFill="1" applyBorder="1" applyAlignment="1">
      <alignment horizontal="center" vertical="center"/>
    </xf>
    <xf numFmtId="0" fontId="16" fillId="0" borderId="0" xfId="1" applyNumberFormat="1" applyFont="1" applyAlignment="1">
      <alignment horizontal="center" vertical="center"/>
    </xf>
    <xf numFmtId="41" fontId="14" fillId="2" borderId="27" xfId="1" applyFont="1" applyFill="1" applyBorder="1" applyAlignment="1">
      <alignment horizontal="center" vertical="center" wrapText="1"/>
    </xf>
    <xf numFmtId="41" fontId="14" fillId="2" borderId="26" xfId="1" applyFont="1" applyFill="1" applyBorder="1" applyAlignment="1">
      <alignment horizontal="center" vertical="center"/>
    </xf>
    <xf numFmtId="3" fontId="8" fillId="0" borderId="23" xfId="1" applyNumberFormat="1" applyFont="1" applyBorder="1" applyAlignment="1">
      <alignment horizontal="center" vertical="center" wrapText="1"/>
    </xf>
    <xf numFmtId="3" fontId="8" fillId="0" borderId="17" xfId="1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78" fontId="8" fillId="0" borderId="23" xfId="1" quotePrefix="1" applyNumberFormat="1" applyFont="1" applyBorder="1" applyAlignment="1">
      <alignment horizontal="center" vertical="center" wrapText="1"/>
    </xf>
    <xf numFmtId="178" fontId="8" fillId="0" borderId="17" xfId="1" applyNumberFormat="1" applyFont="1" applyBorder="1" applyAlignment="1">
      <alignment horizontal="center" vertical="center" wrapText="1"/>
    </xf>
    <xf numFmtId="41" fontId="17" fillId="2" borderId="0" xfId="1" applyFont="1" applyFill="1" applyAlignment="1">
      <alignment horizontal="center" vertical="center"/>
    </xf>
    <xf numFmtId="41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41" fontId="20" fillId="2" borderId="11" xfId="1" applyFont="1" applyFill="1" applyBorder="1" applyAlignment="1">
      <alignment horizontal="center" vertical="center"/>
    </xf>
    <xf numFmtId="41" fontId="20" fillId="2" borderId="20" xfId="1" applyFont="1" applyFill="1" applyBorder="1" applyAlignment="1">
      <alignment horizontal="center" vertical="center"/>
    </xf>
    <xf numFmtId="41" fontId="20" fillId="2" borderId="45" xfId="1" applyFont="1" applyFill="1" applyBorder="1" applyAlignment="1">
      <alignment horizontal="center" vertical="center"/>
    </xf>
    <xf numFmtId="41" fontId="20" fillId="2" borderId="37" xfId="1" applyFont="1" applyFill="1" applyBorder="1" applyAlignment="1">
      <alignment horizontal="center" vertical="center"/>
    </xf>
    <xf numFmtId="41" fontId="20" fillId="2" borderId="6" xfId="1" applyFont="1" applyFill="1" applyBorder="1" applyAlignment="1">
      <alignment horizontal="center" vertical="center"/>
    </xf>
    <xf numFmtId="41" fontId="20" fillId="2" borderId="33" xfId="1" applyFont="1" applyFill="1" applyBorder="1" applyAlignment="1">
      <alignment horizontal="center" vertical="center"/>
    </xf>
    <xf numFmtId="0" fontId="20" fillId="2" borderId="38" xfId="1" applyNumberFormat="1" applyFont="1" applyFill="1" applyBorder="1" applyAlignment="1">
      <alignment horizontal="center" vertical="center" wrapText="1" shrinkToFit="1"/>
    </xf>
    <xf numFmtId="0" fontId="20" fillId="2" borderId="34" xfId="1" applyNumberFormat="1" applyFont="1" applyFill="1" applyBorder="1" applyAlignment="1">
      <alignment horizontal="center" vertical="center" shrinkToFit="1"/>
    </xf>
    <xf numFmtId="0" fontId="20" fillId="2" borderId="46" xfId="1" applyNumberFormat="1" applyFont="1" applyFill="1" applyBorder="1" applyAlignment="1">
      <alignment horizontal="center" vertical="center" shrinkToFit="1"/>
    </xf>
    <xf numFmtId="0" fontId="21" fillId="2" borderId="39" xfId="1" applyNumberFormat="1" applyFont="1" applyFill="1" applyBorder="1" applyAlignment="1">
      <alignment horizontal="center" vertical="center" wrapText="1" shrinkToFit="1"/>
    </xf>
    <xf numFmtId="0" fontId="20" fillId="2" borderId="40" xfId="1" applyNumberFormat="1" applyFont="1" applyFill="1" applyBorder="1" applyAlignment="1">
      <alignment horizontal="center" vertical="center" wrapText="1" shrinkToFit="1"/>
    </xf>
    <xf numFmtId="0" fontId="20" fillId="2" borderId="42" xfId="1" applyNumberFormat="1" applyFont="1" applyFill="1" applyBorder="1" applyAlignment="1">
      <alignment horizontal="center" vertical="center" shrinkToFit="1"/>
    </xf>
    <xf numFmtId="0" fontId="20" fillId="2" borderId="50" xfId="1" applyNumberFormat="1" applyFont="1" applyFill="1" applyBorder="1" applyAlignment="1">
      <alignment horizontal="center" vertical="center" shrinkToFit="1"/>
    </xf>
    <xf numFmtId="0" fontId="21" fillId="2" borderId="87" xfId="1" applyNumberFormat="1" applyFont="1" applyFill="1" applyBorder="1" applyAlignment="1">
      <alignment horizontal="center" vertical="center" wrapText="1" shrinkToFit="1"/>
    </xf>
    <xf numFmtId="0" fontId="21" fillId="2" borderId="93" xfId="1" applyNumberFormat="1" applyFont="1" applyFill="1" applyBorder="1" applyAlignment="1">
      <alignment horizontal="center" vertical="center" wrapText="1" shrinkToFit="1"/>
    </xf>
    <xf numFmtId="0" fontId="21" fillId="2" borderId="91" xfId="1" applyNumberFormat="1" applyFont="1" applyFill="1" applyBorder="1" applyAlignment="1">
      <alignment horizontal="center" vertical="center" wrapText="1" shrinkToFit="1"/>
    </xf>
    <xf numFmtId="0" fontId="21" fillId="2" borderId="94" xfId="1" applyNumberFormat="1" applyFont="1" applyFill="1" applyBorder="1" applyAlignment="1">
      <alignment horizontal="center" vertical="center" wrapText="1" shrinkToFit="1"/>
    </xf>
    <xf numFmtId="0" fontId="21" fillId="2" borderId="95" xfId="1" applyNumberFormat="1" applyFont="1" applyFill="1" applyBorder="1" applyAlignment="1">
      <alignment horizontal="center" vertical="center" wrapText="1" shrinkToFit="1"/>
    </xf>
    <xf numFmtId="0" fontId="21" fillId="2" borderId="96" xfId="1" applyNumberFormat="1" applyFont="1" applyFill="1" applyBorder="1" applyAlignment="1">
      <alignment horizontal="center" vertical="center" wrapText="1" shrinkToFit="1"/>
    </xf>
    <xf numFmtId="0" fontId="18" fillId="2" borderId="62" xfId="0" applyFont="1" applyFill="1" applyBorder="1" applyAlignment="1">
      <alignment horizontal="center" vertical="center"/>
    </xf>
    <xf numFmtId="0" fontId="21" fillId="2" borderId="83" xfId="1" applyNumberFormat="1" applyFont="1" applyFill="1" applyBorder="1" applyAlignment="1">
      <alignment horizontal="center" vertical="center" wrapText="1" shrinkToFit="1"/>
    </xf>
    <xf numFmtId="0" fontId="21" fillId="2" borderId="70" xfId="1" applyNumberFormat="1" applyFont="1" applyFill="1" applyBorder="1" applyAlignment="1">
      <alignment horizontal="center" vertical="center" shrinkToFit="1"/>
    </xf>
    <xf numFmtId="0" fontId="21" fillId="2" borderId="72" xfId="1" applyNumberFormat="1" applyFont="1" applyFill="1" applyBorder="1" applyAlignment="1">
      <alignment horizontal="center" vertical="center" shrinkToFit="1"/>
    </xf>
    <xf numFmtId="0" fontId="21" fillId="2" borderId="38" xfId="1" applyNumberFormat="1" applyFont="1" applyFill="1" applyBorder="1" applyAlignment="1">
      <alignment horizontal="center" vertical="center" wrapText="1"/>
    </xf>
    <xf numFmtId="0" fontId="21" fillId="2" borderId="34" xfId="1" applyNumberFormat="1" applyFont="1" applyFill="1" applyBorder="1" applyAlignment="1">
      <alignment horizontal="center" vertical="center" wrapText="1"/>
    </xf>
    <xf numFmtId="0" fontId="21" fillId="2" borderId="48" xfId="1" applyNumberFormat="1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1" fillId="2" borderId="40" xfId="1" applyNumberFormat="1" applyFont="1" applyFill="1" applyBorder="1" applyAlignment="1">
      <alignment horizontal="center" vertical="center" wrapText="1" shrinkToFit="1"/>
    </xf>
    <xf numFmtId="0" fontId="21" fillId="2" borderId="42" xfId="1" applyNumberFormat="1" applyFont="1" applyFill="1" applyBorder="1" applyAlignment="1">
      <alignment horizontal="center" vertical="center" shrinkToFit="1"/>
    </xf>
    <xf numFmtId="0" fontId="21" fillId="2" borderId="50" xfId="1" applyNumberFormat="1" applyFont="1" applyFill="1" applyBorder="1" applyAlignment="1">
      <alignment horizontal="center" vertical="center" shrinkToFit="1"/>
    </xf>
    <xf numFmtId="0" fontId="41" fillId="2" borderId="62" xfId="0" applyFont="1" applyFill="1" applyBorder="1" applyAlignment="1">
      <alignment horizontal="center"/>
    </xf>
    <xf numFmtId="0" fontId="18" fillId="2" borderId="53" xfId="0" applyFont="1" applyFill="1" applyBorder="1" applyAlignment="1">
      <alignment horizontal="center"/>
    </xf>
    <xf numFmtId="0" fontId="18" fillId="2" borderId="85" xfId="0" applyFont="1" applyFill="1" applyBorder="1" applyAlignment="1">
      <alignment horizontal="center"/>
    </xf>
    <xf numFmtId="0" fontId="39" fillId="3" borderId="64" xfId="0" applyFont="1" applyFill="1" applyBorder="1" applyAlignment="1">
      <alignment horizontal="center" vertical="center"/>
    </xf>
    <xf numFmtId="0" fontId="39" fillId="3" borderId="44" xfId="0" applyFont="1" applyFill="1" applyBorder="1" applyAlignment="1">
      <alignment horizontal="center" vertical="center"/>
    </xf>
    <xf numFmtId="0" fontId="39" fillId="3" borderId="108" xfId="0" applyFont="1" applyFill="1" applyBorder="1" applyAlignment="1">
      <alignment horizontal="center" vertical="center"/>
    </xf>
    <xf numFmtId="0" fontId="39" fillId="3" borderId="90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26" fontId="68" fillId="19" borderId="113" xfId="1" applyNumberFormat="1" applyFont="1" applyFill="1" applyBorder="1" applyAlignment="1">
      <alignment horizontal="center" vertical="center" shrinkToFit="1"/>
    </xf>
    <xf numFmtId="26" fontId="68" fillId="19" borderId="114" xfId="1" applyNumberFormat="1" applyFont="1" applyFill="1" applyBorder="1" applyAlignment="1">
      <alignment horizontal="center" vertical="center" shrinkToFit="1"/>
    </xf>
    <xf numFmtId="26" fontId="68" fillId="19" borderId="115" xfId="1" applyNumberFormat="1" applyFont="1" applyFill="1" applyBorder="1" applyAlignment="1">
      <alignment horizontal="center" vertical="center" shrinkToFit="1"/>
    </xf>
    <xf numFmtId="0" fontId="68" fillId="19" borderId="113" xfId="0" applyFont="1" applyFill="1" applyBorder="1" applyAlignment="1">
      <alignment horizontal="center" vertical="center" shrinkToFit="1"/>
    </xf>
    <xf numFmtId="0" fontId="68" fillId="19" borderId="114" xfId="0" applyFont="1" applyFill="1" applyBorder="1" applyAlignment="1">
      <alignment horizontal="center" vertical="center" shrinkToFit="1"/>
    </xf>
    <xf numFmtId="0" fontId="68" fillId="19" borderId="115" xfId="0" applyFont="1" applyFill="1" applyBorder="1" applyAlignment="1">
      <alignment horizontal="center" vertical="center" shrinkToFit="1"/>
    </xf>
    <xf numFmtId="41" fontId="71" fillId="0" borderId="48" xfId="1" applyFont="1" applyBorder="1" applyAlignment="1">
      <alignment horizontal="center" vertical="center" shrinkToFit="1"/>
    </xf>
    <xf numFmtId="41" fontId="4" fillId="0" borderId="34" xfId="1" applyFont="1" applyBorder="1" applyAlignment="1">
      <alignment vertical="center"/>
    </xf>
    <xf numFmtId="41" fontId="4" fillId="0" borderId="139" xfId="1" applyFont="1" applyBorder="1" applyAlignment="1">
      <alignment vertical="center"/>
    </xf>
    <xf numFmtId="41" fontId="71" fillId="0" borderId="153" xfId="1" applyFont="1" applyBorder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66FFCC"/>
      <color rgb="FFFF0066"/>
      <color rgb="FFCC00FF"/>
      <color rgb="FFCCFFFF"/>
      <color rgb="FFFFC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L22"/>
  <sheetViews>
    <sheetView tabSelected="1" view="pageBreakPreview" zoomScale="90" zoomScaleNormal="100" zoomScaleSheetLayoutView="90" workbookViewId="0">
      <selection sqref="A1:G1"/>
    </sheetView>
  </sheetViews>
  <sheetFormatPr defaultRowHeight="13.5"/>
  <cols>
    <col min="1" max="1" width="12.77734375" customWidth="1"/>
    <col min="2" max="2" width="11" customWidth="1"/>
    <col min="3" max="3" width="8.77734375" customWidth="1"/>
    <col min="4" max="6" width="10.77734375" customWidth="1"/>
    <col min="7" max="7" width="32.6640625" customWidth="1"/>
    <col min="9" max="9" width="28.77734375" customWidth="1"/>
    <col min="10" max="11" width="14.77734375" customWidth="1"/>
  </cols>
  <sheetData>
    <row r="1" spans="1:12" s="1" customFormat="1" ht="27" customHeight="1">
      <c r="A1" s="409" t="s">
        <v>100</v>
      </c>
      <c r="B1" s="409"/>
      <c r="C1" s="409"/>
      <c r="D1" s="409"/>
      <c r="E1" s="409"/>
      <c r="F1" s="409"/>
      <c r="G1" s="409"/>
    </row>
    <row r="2" spans="1:12" s="1" customFormat="1" ht="16.5" customHeight="1" thickBot="1">
      <c r="A2" s="22"/>
      <c r="B2" s="22"/>
      <c r="C2" s="22"/>
      <c r="D2" s="22"/>
      <c r="E2" s="22"/>
      <c r="F2" s="22"/>
      <c r="G2" s="20"/>
    </row>
    <row r="3" spans="1:12" s="1" customFormat="1" ht="20.100000000000001" customHeight="1" thickBot="1">
      <c r="A3" s="21"/>
      <c r="B3" s="21"/>
      <c r="C3" s="21"/>
      <c r="D3" s="21"/>
      <c r="E3" s="21"/>
      <c r="F3" s="21"/>
      <c r="G3" s="20" t="s">
        <v>165</v>
      </c>
      <c r="I3" s="383" t="s">
        <v>169</v>
      </c>
      <c r="J3" s="407" t="s">
        <v>156</v>
      </c>
      <c r="K3" s="408"/>
    </row>
    <row r="4" spans="1:12" s="2" customFormat="1" ht="33" customHeight="1" thickBot="1">
      <c r="A4" s="19" t="s">
        <v>17</v>
      </c>
      <c r="B4" s="410" t="s">
        <v>16</v>
      </c>
      <c r="C4" s="411"/>
      <c r="D4" s="18" t="s">
        <v>15</v>
      </c>
      <c r="E4" s="17" t="s">
        <v>14</v>
      </c>
      <c r="F4" s="16" t="s">
        <v>13</v>
      </c>
      <c r="G4" s="15" t="s">
        <v>12</v>
      </c>
      <c r="I4" s="466" t="s">
        <v>155</v>
      </c>
      <c r="J4" s="350" t="s">
        <v>157</v>
      </c>
      <c r="K4" s="358" t="s">
        <v>154</v>
      </c>
    </row>
    <row r="5" spans="1:12" s="2" customFormat="1" ht="33" customHeight="1">
      <c r="A5" s="390" t="s">
        <v>11</v>
      </c>
      <c r="B5" s="14" t="s">
        <v>64</v>
      </c>
      <c r="C5" s="414" t="s">
        <v>5</v>
      </c>
      <c r="D5" s="152">
        <f>'상세재고 현황'!J7</f>
        <v>8614</v>
      </c>
      <c r="E5" s="416" t="s">
        <v>153</v>
      </c>
      <c r="F5" s="412" t="s">
        <v>98</v>
      </c>
      <c r="G5" s="10" t="s">
        <v>166</v>
      </c>
      <c r="I5" s="467">
        <v>0</v>
      </c>
      <c r="J5" s="349"/>
      <c r="K5" s="359"/>
      <c r="L5" s="352">
        <f>SUM(D5,I5:K5)</f>
        <v>8614</v>
      </c>
    </row>
    <row r="6" spans="1:12" s="2" customFormat="1" ht="33" customHeight="1">
      <c r="A6" s="391"/>
      <c r="B6" s="13" t="s">
        <v>71</v>
      </c>
      <c r="C6" s="415"/>
      <c r="D6" s="152">
        <f>'상세재고 현황'!J8</f>
        <v>701</v>
      </c>
      <c r="E6" s="417"/>
      <c r="F6" s="413"/>
      <c r="G6" s="10" t="s">
        <v>164</v>
      </c>
      <c r="I6" s="468">
        <v>619</v>
      </c>
      <c r="J6" s="355"/>
      <c r="K6" s="360"/>
      <c r="L6" s="356">
        <f>SUM(D6,I6:K6)</f>
        <v>1320</v>
      </c>
    </row>
    <row r="7" spans="1:12" s="2" customFormat="1" ht="33" customHeight="1">
      <c r="A7" s="391"/>
      <c r="B7" s="13" t="s">
        <v>72</v>
      </c>
      <c r="C7" s="415"/>
      <c r="D7" s="152">
        <f>'상세재고 현황'!J9</f>
        <v>996</v>
      </c>
      <c r="E7" s="417"/>
      <c r="F7" s="413"/>
      <c r="G7" s="10" t="s">
        <v>164</v>
      </c>
      <c r="I7" s="468">
        <v>531</v>
      </c>
      <c r="J7" s="355"/>
      <c r="K7" s="360"/>
      <c r="L7" s="356">
        <f>SUM(D7,I7:K7)</f>
        <v>1527</v>
      </c>
    </row>
    <row r="8" spans="1:12" s="2" customFormat="1" ht="33" customHeight="1">
      <c r="A8" s="391"/>
      <c r="B8" s="13" t="s">
        <v>73</v>
      </c>
      <c r="C8" s="415"/>
      <c r="D8" s="152">
        <f>'상세재고 현황'!J10</f>
        <v>731</v>
      </c>
      <c r="E8" s="417"/>
      <c r="F8" s="413"/>
      <c r="G8" s="10" t="s">
        <v>164</v>
      </c>
      <c r="I8" s="468">
        <v>446</v>
      </c>
      <c r="J8" s="355"/>
      <c r="K8" s="360"/>
      <c r="L8" s="356">
        <f>SUM(D8,I8:K8)</f>
        <v>1177</v>
      </c>
    </row>
    <row r="9" spans="1:12" s="2" customFormat="1" ht="33" customHeight="1" thickBot="1">
      <c r="A9" s="391"/>
      <c r="B9" s="13" t="s">
        <v>63</v>
      </c>
      <c r="C9" s="415"/>
      <c r="D9" s="152">
        <f>'상세재고 현황'!J11</f>
        <v>1342</v>
      </c>
      <c r="E9" s="417"/>
      <c r="F9" s="413"/>
      <c r="G9" s="10" t="s">
        <v>164</v>
      </c>
      <c r="I9" s="467">
        <v>854</v>
      </c>
      <c r="J9" s="349"/>
      <c r="K9" s="359"/>
      <c r="L9" s="353">
        <f>SUM(D9,I9:K9)</f>
        <v>2196</v>
      </c>
    </row>
    <row r="10" spans="1:12" s="2" customFormat="1" ht="33" customHeight="1" thickTop="1" thickBot="1">
      <c r="A10" s="387" t="s">
        <v>2</v>
      </c>
      <c r="B10" s="388"/>
      <c r="C10" s="389"/>
      <c r="D10" s="148">
        <f>SUM(D5:D9)</f>
        <v>12384</v>
      </c>
      <c r="E10" s="9"/>
      <c r="F10" s="8"/>
      <c r="G10" s="7"/>
      <c r="I10" s="469">
        <f>SUM(I5:I9)</f>
        <v>2450</v>
      </c>
      <c r="J10" s="351">
        <f>SUM(J5:J9)</f>
        <v>0</v>
      </c>
      <c r="K10" s="361">
        <f t="shared" ref="K10" si="0">SUM(K5:K9)</f>
        <v>0</v>
      </c>
      <c r="L10" s="354">
        <f>SUM(D10,I10:K10)</f>
        <v>14834</v>
      </c>
    </row>
    <row r="11" spans="1:12" s="2" customFormat="1" ht="33" customHeight="1">
      <c r="A11" s="390" t="s">
        <v>6</v>
      </c>
      <c r="B11" s="6" t="s">
        <v>108</v>
      </c>
      <c r="C11" s="396" t="s">
        <v>5</v>
      </c>
      <c r="D11" s="149">
        <f>'상세재고 현황'!J20</f>
        <v>2750</v>
      </c>
      <c r="E11" s="400" t="s">
        <v>123</v>
      </c>
      <c r="F11" s="393" t="s">
        <v>99</v>
      </c>
      <c r="G11" s="10" t="s">
        <v>151</v>
      </c>
    </row>
    <row r="12" spans="1:12" s="2" customFormat="1" ht="33" customHeight="1">
      <c r="A12" s="391"/>
      <c r="B12" s="11" t="s">
        <v>71</v>
      </c>
      <c r="C12" s="397"/>
      <c r="D12" s="150">
        <f>'상세재고 현황'!J21</f>
        <v>2957</v>
      </c>
      <c r="E12" s="401"/>
      <c r="F12" s="394"/>
      <c r="G12" s="10" t="s">
        <v>151</v>
      </c>
      <c r="I12" s="300"/>
      <c r="J12" s="300"/>
      <c r="K12" s="300"/>
      <c r="L12" s="300"/>
    </row>
    <row r="13" spans="1:12" s="2" customFormat="1" ht="33" customHeight="1">
      <c r="A13" s="391"/>
      <c r="B13" s="11" t="s">
        <v>72</v>
      </c>
      <c r="C13" s="397"/>
      <c r="D13" s="150">
        <f>'상세재고 현황'!J22</f>
        <v>1547</v>
      </c>
      <c r="E13" s="401"/>
      <c r="F13" s="394"/>
      <c r="G13" s="10" t="s">
        <v>152</v>
      </c>
    </row>
    <row r="14" spans="1:12" s="2" customFormat="1" ht="33" customHeight="1">
      <c r="A14" s="391"/>
      <c r="B14" s="11" t="s">
        <v>73</v>
      </c>
      <c r="C14" s="398"/>
      <c r="D14" s="150">
        <f>'상세재고 현황'!J23</f>
        <v>1598</v>
      </c>
      <c r="E14" s="401"/>
      <c r="F14" s="394"/>
      <c r="G14" s="10" t="s">
        <v>119</v>
      </c>
      <c r="I14" s="1"/>
      <c r="J14" s="1"/>
      <c r="K14" s="1"/>
      <c r="L14" s="1"/>
    </row>
    <row r="15" spans="1:12" s="2" customFormat="1" ht="33" customHeight="1" thickBot="1">
      <c r="A15" s="392"/>
      <c r="B15" s="12" t="s">
        <v>63</v>
      </c>
      <c r="C15" s="399"/>
      <c r="D15" s="151">
        <f>'상세재고 현황'!J24</f>
        <v>1672</v>
      </c>
      <c r="E15" s="402"/>
      <c r="F15" s="395"/>
      <c r="G15" s="10" t="s">
        <v>144</v>
      </c>
    </row>
    <row r="16" spans="1:12" s="2" customFormat="1" ht="33" customHeight="1" thickTop="1" thickBot="1">
      <c r="A16" s="387" t="s">
        <v>2</v>
      </c>
      <c r="B16" s="388"/>
      <c r="C16" s="389"/>
      <c r="D16" s="148">
        <f>SUM(D11:D15)</f>
        <v>10524</v>
      </c>
      <c r="E16" s="9"/>
      <c r="F16" s="8"/>
      <c r="G16" s="7"/>
      <c r="I16" s="300"/>
      <c r="J16" s="300"/>
      <c r="K16" s="300"/>
      <c r="L16" s="300"/>
    </row>
    <row r="17" spans="1:12" s="2" customFormat="1" ht="44.1" customHeight="1" thickBot="1">
      <c r="A17" s="271" t="s">
        <v>105</v>
      </c>
      <c r="B17" s="237" t="s">
        <v>111</v>
      </c>
      <c r="C17" s="281" t="s">
        <v>113</v>
      </c>
      <c r="D17" s="239">
        <f>'상세재고 현황'!J61</f>
        <v>1450</v>
      </c>
      <c r="E17" s="283" t="s">
        <v>146</v>
      </c>
      <c r="F17" s="282" t="s">
        <v>122</v>
      </c>
      <c r="G17" s="238" t="s">
        <v>145</v>
      </c>
    </row>
    <row r="18" spans="1:12" s="2" customFormat="1" ht="33" customHeight="1" thickTop="1" thickBot="1">
      <c r="A18" s="387" t="s">
        <v>2</v>
      </c>
      <c r="B18" s="388"/>
      <c r="C18" s="389"/>
      <c r="D18" s="148">
        <f>SUM(D17:D17)</f>
        <v>1450</v>
      </c>
      <c r="E18" s="9"/>
      <c r="F18" s="8"/>
      <c r="G18" s="7"/>
      <c r="I18" s="1"/>
      <c r="J18" s="1"/>
      <c r="K18" s="1"/>
      <c r="L18" s="1"/>
    </row>
    <row r="19" spans="1:12" s="300" customFormat="1" ht="33" customHeight="1">
      <c r="A19" s="390" t="s">
        <v>141</v>
      </c>
      <c r="B19" s="403" t="s">
        <v>138</v>
      </c>
      <c r="C19" s="405" t="s">
        <v>139</v>
      </c>
      <c r="D19" s="366">
        <f>'상세재고 현황'!J88</f>
        <v>300</v>
      </c>
      <c r="E19" s="367">
        <v>141000</v>
      </c>
      <c r="F19" s="368" t="s">
        <v>140</v>
      </c>
      <c r="G19" s="369" t="s">
        <v>142</v>
      </c>
    </row>
    <row r="20" spans="1:12" s="300" customFormat="1" ht="33" customHeight="1" thickBot="1">
      <c r="A20" s="392"/>
      <c r="B20" s="404"/>
      <c r="C20" s="406"/>
      <c r="D20" s="362">
        <f>'상세재고 현황'!J89</f>
        <v>1000</v>
      </c>
      <c r="E20" s="363">
        <v>136000</v>
      </c>
      <c r="F20" s="364" t="s">
        <v>158</v>
      </c>
      <c r="G20" s="365" t="s">
        <v>161</v>
      </c>
    </row>
    <row r="21" spans="1:12" s="2" customFormat="1" ht="33" customHeight="1" thickTop="1" thickBot="1">
      <c r="A21" s="387" t="s">
        <v>2</v>
      </c>
      <c r="B21" s="388"/>
      <c r="C21" s="389"/>
      <c r="D21" s="148">
        <f>SUM(D19:D20)</f>
        <v>1300</v>
      </c>
      <c r="E21" s="9"/>
      <c r="F21" s="8"/>
      <c r="G21" s="7"/>
    </row>
    <row r="22" spans="1:12" s="1" customFormat="1" ht="42.95" customHeight="1" thickBot="1">
      <c r="A22" s="384" t="s">
        <v>0</v>
      </c>
      <c r="B22" s="385"/>
      <c r="C22" s="386"/>
      <c r="D22" s="5">
        <f>D16+D18+D10+D21</f>
        <v>25658</v>
      </c>
      <c r="E22" s="5"/>
      <c r="F22" s="4"/>
      <c r="G22" s="3"/>
    </row>
  </sheetData>
  <mergeCells count="19">
    <mergeCell ref="J3:K3"/>
    <mergeCell ref="A1:G1"/>
    <mergeCell ref="B4:C4"/>
    <mergeCell ref="A10:C10"/>
    <mergeCell ref="F5:F9"/>
    <mergeCell ref="A5:A9"/>
    <mergeCell ref="C5:C9"/>
    <mergeCell ref="E5:E9"/>
    <mergeCell ref="A22:C22"/>
    <mergeCell ref="A16:C16"/>
    <mergeCell ref="A11:A15"/>
    <mergeCell ref="A18:C18"/>
    <mergeCell ref="F11:F15"/>
    <mergeCell ref="C11:C15"/>
    <mergeCell ref="E11:E15"/>
    <mergeCell ref="A21:C21"/>
    <mergeCell ref="A19:A20"/>
    <mergeCell ref="B19:B20"/>
    <mergeCell ref="C19:C20"/>
  </mergeCells>
  <phoneticPr fontId="2" type="noConversion"/>
  <printOptions horizontalCentered="1"/>
  <pageMargins left="0.15748031496062992" right="0.15748031496062992" top="0.98425196850393704" bottom="0.15748031496062992" header="0.70866141732283472" footer="0.15748031496062992"/>
  <pageSetup paperSize="9"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V89"/>
  <sheetViews>
    <sheetView view="pageBreakPreview" zoomScale="85" zoomScaleNormal="100" zoomScaleSheetLayoutView="85" workbookViewId="0">
      <selection sqref="A1:P1"/>
    </sheetView>
  </sheetViews>
  <sheetFormatPr defaultRowHeight="13.5"/>
  <cols>
    <col min="1" max="1" width="12" style="216" customWidth="1"/>
    <col min="2" max="2" width="8.77734375" style="216" customWidth="1"/>
    <col min="3" max="3" width="8.5546875" style="216" customWidth="1"/>
    <col min="4" max="5" width="9" style="216" customWidth="1"/>
    <col min="6" max="6" width="8.88671875" style="216" customWidth="1"/>
    <col min="7" max="13" width="9.44140625" style="216" customWidth="1"/>
    <col min="14" max="15" width="10" style="216" hidden="1" customWidth="1"/>
    <col min="16" max="16" width="10" style="216" customWidth="1"/>
    <col min="17" max="17" width="1.6640625" style="216" customWidth="1"/>
    <col min="18" max="19" width="0" style="216" hidden="1" customWidth="1"/>
    <col min="20" max="211" width="8.88671875" style="216"/>
    <col min="212" max="212" width="15.5546875" style="216" customWidth="1"/>
    <col min="213" max="213" width="10.77734375" style="216" customWidth="1"/>
    <col min="214" max="214" width="11.88671875" style="216" customWidth="1"/>
    <col min="215" max="216" width="0" style="216" hidden="1" customWidth="1"/>
    <col min="217" max="221" width="11.88671875" style="216" customWidth="1"/>
    <col min="222" max="222" width="0" style="216" hidden="1" customWidth="1"/>
    <col min="223" max="223" width="11.88671875" style="216" customWidth="1"/>
    <col min="224" max="244" width="0" style="216" hidden="1" customWidth="1"/>
    <col min="245" max="467" width="8.88671875" style="216"/>
    <col min="468" max="468" width="15.5546875" style="216" customWidth="1"/>
    <col min="469" max="469" width="10.77734375" style="216" customWidth="1"/>
    <col min="470" max="470" width="11.88671875" style="216" customWidth="1"/>
    <col min="471" max="472" width="0" style="216" hidden="1" customWidth="1"/>
    <col min="473" max="477" width="11.88671875" style="216" customWidth="1"/>
    <col min="478" max="478" width="0" style="216" hidden="1" customWidth="1"/>
    <col min="479" max="479" width="11.88671875" style="216" customWidth="1"/>
    <col min="480" max="500" width="0" style="216" hidden="1" customWidth="1"/>
    <col min="501" max="723" width="8.88671875" style="216"/>
    <col min="724" max="724" width="15.5546875" style="216" customWidth="1"/>
    <col min="725" max="725" width="10.77734375" style="216" customWidth="1"/>
    <col min="726" max="726" width="11.88671875" style="216" customWidth="1"/>
    <col min="727" max="728" width="0" style="216" hidden="1" customWidth="1"/>
    <col min="729" max="733" width="11.88671875" style="216" customWidth="1"/>
    <col min="734" max="734" width="0" style="216" hidden="1" customWidth="1"/>
    <col min="735" max="735" width="11.88671875" style="216" customWidth="1"/>
    <col min="736" max="756" width="0" style="216" hidden="1" customWidth="1"/>
    <col min="757" max="979" width="8.88671875" style="216"/>
    <col min="980" max="980" width="15.5546875" style="216" customWidth="1"/>
    <col min="981" max="981" width="10.77734375" style="216" customWidth="1"/>
    <col min="982" max="982" width="11.88671875" style="216" customWidth="1"/>
    <col min="983" max="984" width="0" style="216" hidden="1" customWidth="1"/>
    <col min="985" max="989" width="11.88671875" style="216" customWidth="1"/>
    <col min="990" max="990" width="0" style="216" hidden="1" customWidth="1"/>
    <col min="991" max="991" width="11.88671875" style="216" customWidth="1"/>
    <col min="992" max="1012" width="0" style="216" hidden="1" customWidth="1"/>
    <col min="1013" max="1235" width="8.88671875" style="216"/>
    <col min="1236" max="1236" width="15.5546875" style="216" customWidth="1"/>
    <col min="1237" max="1237" width="10.77734375" style="216" customWidth="1"/>
    <col min="1238" max="1238" width="11.88671875" style="216" customWidth="1"/>
    <col min="1239" max="1240" width="0" style="216" hidden="1" customWidth="1"/>
    <col min="1241" max="1245" width="11.88671875" style="216" customWidth="1"/>
    <col min="1246" max="1246" width="0" style="216" hidden="1" customWidth="1"/>
    <col min="1247" max="1247" width="11.88671875" style="216" customWidth="1"/>
    <col min="1248" max="1268" width="0" style="216" hidden="1" customWidth="1"/>
    <col min="1269" max="1491" width="8.88671875" style="216"/>
    <col min="1492" max="1492" width="15.5546875" style="216" customWidth="1"/>
    <col min="1493" max="1493" width="10.77734375" style="216" customWidth="1"/>
    <col min="1494" max="1494" width="11.88671875" style="216" customWidth="1"/>
    <col min="1495" max="1496" width="0" style="216" hidden="1" customWidth="1"/>
    <col min="1497" max="1501" width="11.88671875" style="216" customWidth="1"/>
    <col min="1502" max="1502" width="0" style="216" hidden="1" customWidth="1"/>
    <col min="1503" max="1503" width="11.88671875" style="216" customWidth="1"/>
    <col min="1504" max="1524" width="0" style="216" hidden="1" customWidth="1"/>
    <col min="1525" max="1747" width="8.88671875" style="216"/>
    <col min="1748" max="1748" width="15.5546875" style="216" customWidth="1"/>
    <col min="1749" max="1749" width="10.77734375" style="216" customWidth="1"/>
    <col min="1750" max="1750" width="11.88671875" style="216" customWidth="1"/>
    <col min="1751" max="1752" width="0" style="216" hidden="1" customWidth="1"/>
    <col min="1753" max="1757" width="11.88671875" style="216" customWidth="1"/>
    <col min="1758" max="1758" width="0" style="216" hidden="1" customWidth="1"/>
    <col min="1759" max="1759" width="11.88671875" style="216" customWidth="1"/>
    <col min="1760" max="1780" width="0" style="216" hidden="1" customWidth="1"/>
    <col min="1781" max="2003" width="8.88671875" style="216"/>
    <col min="2004" max="2004" width="15.5546875" style="216" customWidth="1"/>
    <col min="2005" max="2005" width="10.77734375" style="216" customWidth="1"/>
    <col min="2006" max="2006" width="11.88671875" style="216" customWidth="1"/>
    <col min="2007" max="2008" width="0" style="216" hidden="1" customWidth="1"/>
    <col min="2009" max="2013" width="11.88671875" style="216" customWidth="1"/>
    <col min="2014" max="2014" width="0" style="216" hidden="1" customWidth="1"/>
    <col min="2015" max="2015" width="11.88671875" style="216" customWidth="1"/>
    <col min="2016" max="2036" width="0" style="216" hidden="1" customWidth="1"/>
    <col min="2037" max="2259" width="8.88671875" style="216"/>
    <col min="2260" max="2260" width="15.5546875" style="216" customWidth="1"/>
    <col min="2261" max="2261" width="10.77734375" style="216" customWidth="1"/>
    <col min="2262" max="2262" width="11.88671875" style="216" customWidth="1"/>
    <col min="2263" max="2264" width="0" style="216" hidden="1" customWidth="1"/>
    <col min="2265" max="2269" width="11.88671875" style="216" customWidth="1"/>
    <col min="2270" max="2270" width="0" style="216" hidden="1" customWidth="1"/>
    <col min="2271" max="2271" width="11.88671875" style="216" customWidth="1"/>
    <col min="2272" max="2292" width="0" style="216" hidden="1" customWidth="1"/>
    <col min="2293" max="2515" width="8.88671875" style="216"/>
    <col min="2516" max="2516" width="15.5546875" style="216" customWidth="1"/>
    <col min="2517" max="2517" width="10.77734375" style="216" customWidth="1"/>
    <col min="2518" max="2518" width="11.88671875" style="216" customWidth="1"/>
    <col min="2519" max="2520" width="0" style="216" hidden="1" customWidth="1"/>
    <col min="2521" max="2525" width="11.88671875" style="216" customWidth="1"/>
    <col min="2526" max="2526" width="0" style="216" hidden="1" customWidth="1"/>
    <col min="2527" max="2527" width="11.88671875" style="216" customWidth="1"/>
    <col min="2528" max="2548" width="0" style="216" hidden="1" customWidth="1"/>
    <col min="2549" max="2771" width="8.88671875" style="216"/>
    <col min="2772" max="2772" width="15.5546875" style="216" customWidth="1"/>
    <col min="2773" max="2773" width="10.77734375" style="216" customWidth="1"/>
    <col min="2774" max="2774" width="11.88671875" style="216" customWidth="1"/>
    <col min="2775" max="2776" width="0" style="216" hidden="1" customWidth="1"/>
    <col min="2777" max="2781" width="11.88671875" style="216" customWidth="1"/>
    <col min="2782" max="2782" width="0" style="216" hidden="1" customWidth="1"/>
    <col min="2783" max="2783" width="11.88671875" style="216" customWidth="1"/>
    <col min="2784" max="2804" width="0" style="216" hidden="1" customWidth="1"/>
    <col min="2805" max="3027" width="8.88671875" style="216"/>
    <col min="3028" max="3028" width="15.5546875" style="216" customWidth="1"/>
    <col min="3029" max="3029" width="10.77734375" style="216" customWidth="1"/>
    <col min="3030" max="3030" width="11.88671875" style="216" customWidth="1"/>
    <col min="3031" max="3032" width="0" style="216" hidden="1" customWidth="1"/>
    <col min="3033" max="3037" width="11.88671875" style="216" customWidth="1"/>
    <col min="3038" max="3038" width="0" style="216" hidden="1" customWidth="1"/>
    <col min="3039" max="3039" width="11.88671875" style="216" customWidth="1"/>
    <col min="3040" max="3060" width="0" style="216" hidden="1" customWidth="1"/>
    <col min="3061" max="3283" width="8.88671875" style="216"/>
    <col min="3284" max="3284" width="15.5546875" style="216" customWidth="1"/>
    <col min="3285" max="3285" width="10.77734375" style="216" customWidth="1"/>
    <col min="3286" max="3286" width="11.88671875" style="216" customWidth="1"/>
    <col min="3287" max="3288" width="0" style="216" hidden="1" customWidth="1"/>
    <col min="3289" max="3293" width="11.88671875" style="216" customWidth="1"/>
    <col min="3294" max="3294" width="0" style="216" hidden="1" customWidth="1"/>
    <col min="3295" max="3295" width="11.88671875" style="216" customWidth="1"/>
    <col min="3296" max="3316" width="0" style="216" hidden="1" customWidth="1"/>
    <col min="3317" max="3539" width="8.88671875" style="216"/>
    <col min="3540" max="3540" width="15.5546875" style="216" customWidth="1"/>
    <col min="3541" max="3541" width="10.77734375" style="216" customWidth="1"/>
    <col min="3542" max="3542" width="11.88671875" style="216" customWidth="1"/>
    <col min="3543" max="3544" width="0" style="216" hidden="1" customWidth="1"/>
    <col min="3545" max="3549" width="11.88671875" style="216" customWidth="1"/>
    <col min="3550" max="3550" width="0" style="216" hidden="1" customWidth="1"/>
    <col min="3551" max="3551" width="11.88671875" style="216" customWidth="1"/>
    <col min="3552" max="3572" width="0" style="216" hidden="1" customWidth="1"/>
    <col min="3573" max="3795" width="8.88671875" style="216"/>
    <col min="3796" max="3796" width="15.5546875" style="216" customWidth="1"/>
    <col min="3797" max="3797" width="10.77734375" style="216" customWidth="1"/>
    <col min="3798" max="3798" width="11.88671875" style="216" customWidth="1"/>
    <col min="3799" max="3800" width="0" style="216" hidden="1" customWidth="1"/>
    <col min="3801" max="3805" width="11.88671875" style="216" customWidth="1"/>
    <col min="3806" max="3806" width="0" style="216" hidden="1" customWidth="1"/>
    <col min="3807" max="3807" width="11.88671875" style="216" customWidth="1"/>
    <col min="3808" max="3828" width="0" style="216" hidden="1" customWidth="1"/>
    <col min="3829" max="4051" width="8.88671875" style="216"/>
    <col min="4052" max="4052" width="15.5546875" style="216" customWidth="1"/>
    <col min="4053" max="4053" width="10.77734375" style="216" customWidth="1"/>
    <col min="4054" max="4054" width="11.88671875" style="216" customWidth="1"/>
    <col min="4055" max="4056" width="0" style="216" hidden="1" customWidth="1"/>
    <col min="4057" max="4061" width="11.88671875" style="216" customWidth="1"/>
    <col min="4062" max="4062" width="0" style="216" hidden="1" customWidth="1"/>
    <col min="4063" max="4063" width="11.88671875" style="216" customWidth="1"/>
    <col min="4064" max="4084" width="0" style="216" hidden="1" customWidth="1"/>
    <col min="4085" max="4307" width="8.88671875" style="216"/>
    <col min="4308" max="4308" width="15.5546875" style="216" customWidth="1"/>
    <col min="4309" max="4309" width="10.77734375" style="216" customWidth="1"/>
    <col min="4310" max="4310" width="11.88671875" style="216" customWidth="1"/>
    <col min="4311" max="4312" width="0" style="216" hidden="1" customWidth="1"/>
    <col min="4313" max="4317" width="11.88671875" style="216" customWidth="1"/>
    <col min="4318" max="4318" width="0" style="216" hidden="1" customWidth="1"/>
    <col min="4319" max="4319" width="11.88671875" style="216" customWidth="1"/>
    <col min="4320" max="4340" width="0" style="216" hidden="1" customWidth="1"/>
    <col min="4341" max="4563" width="8.88671875" style="216"/>
    <col min="4564" max="4564" width="15.5546875" style="216" customWidth="1"/>
    <col min="4565" max="4565" width="10.77734375" style="216" customWidth="1"/>
    <col min="4566" max="4566" width="11.88671875" style="216" customWidth="1"/>
    <col min="4567" max="4568" width="0" style="216" hidden="1" customWidth="1"/>
    <col min="4569" max="4573" width="11.88671875" style="216" customWidth="1"/>
    <col min="4574" max="4574" width="0" style="216" hidden="1" customWidth="1"/>
    <col min="4575" max="4575" width="11.88671875" style="216" customWidth="1"/>
    <col min="4576" max="4596" width="0" style="216" hidden="1" customWidth="1"/>
    <col min="4597" max="4819" width="8.88671875" style="216"/>
    <col min="4820" max="4820" width="15.5546875" style="216" customWidth="1"/>
    <col min="4821" max="4821" width="10.77734375" style="216" customWidth="1"/>
    <col min="4822" max="4822" width="11.88671875" style="216" customWidth="1"/>
    <col min="4823" max="4824" width="0" style="216" hidden="1" customWidth="1"/>
    <col min="4825" max="4829" width="11.88671875" style="216" customWidth="1"/>
    <col min="4830" max="4830" width="0" style="216" hidden="1" customWidth="1"/>
    <col min="4831" max="4831" width="11.88671875" style="216" customWidth="1"/>
    <col min="4832" max="4852" width="0" style="216" hidden="1" customWidth="1"/>
    <col min="4853" max="5075" width="8.88671875" style="216"/>
    <col min="5076" max="5076" width="15.5546875" style="216" customWidth="1"/>
    <col min="5077" max="5077" width="10.77734375" style="216" customWidth="1"/>
    <col min="5078" max="5078" width="11.88671875" style="216" customWidth="1"/>
    <col min="5079" max="5080" width="0" style="216" hidden="1" customWidth="1"/>
    <col min="5081" max="5085" width="11.88671875" style="216" customWidth="1"/>
    <col min="5086" max="5086" width="0" style="216" hidden="1" customWidth="1"/>
    <col min="5087" max="5087" width="11.88671875" style="216" customWidth="1"/>
    <col min="5088" max="5108" width="0" style="216" hidden="1" customWidth="1"/>
    <col min="5109" max="5331" width="8.88671875" style="216"/>
    <col min="5332" max="5332" width="15.5546875" style="216" customWidth="1"/>
    <col min="5333" max="5333" width="10.77734375" style="216" customWidth="1"/>
    <col min="5334" max="5334" width="11.88671875" style="216" customWidth="1"/>
    <col min="5335" max="5336" width="0" style="216" hidden="1" customWidth="1"/>
    <col min="5337" max="5341" width="11.88671875" style="216" customWidth="1"/>
    <col min="5342" max="5342" width="0" style="216" hidden="1" customWidth="1"/>
    <col min="5343" max="5343" width="11.88671875" style="216" customWidth="1"/>
    <col min="5344" max="5364" width="0" style="216" hidden="1" customWidth="1"/>
    <col min="5365" max="5587" width="8.88671875" style="216"/>
    <col min="5588" max="5588" width="15.5546875" style="216" customWidth="1"/>
    <col min="5589" max="5589" width="10.77734375" style="216" customWidth="1"/>
    <col min="5590" max="5590" width="11.88671875" style="216" customWidth="1"/>
    <col min="5591" max="5592" width="0" style="216" hidden="1" customWidth="1"/>
    <col min="5593" max="5597" width="11.88671875" style="216" customWidth="1"/>
    <col min="5598" max="5598" width="0" style="216" hidden="1" customWidth="1"/>
    <col min="5599" max="5599" width="11.88671875" style="216" customWidth="1"/>
    <col min="5600" max="5620" width="0" style="216" hidden="1" customWidth="1"/>
    <col min="5621" max="5843" width="8.88671875" style="216"/>
    <col min="5844" max="5844" width="15.5546875" style="216" customWidth="1"/>
    <col min="5845" max="5845" width="10.77734375" style="216" customWidth="1"/>
    <col min="5846" max="5846" width="11.88671875" style="216" customWidth="1"/>
    <col min="5847" max="5848" width="0" style="216" hidden="1" customWidth="1"/>
    <col min="5849" max="5853" width="11.88671875" style="216" customWidth="1"/>
    <col min="5854" max="5854" width="0" style="216" hidden="1" customWidth="1"/>
    <col min="5855" max="5855" width="11.88671875" style="216" customWidth="1"/>
    <col min="5856" max="5876" width="0" style="216" hidden="1" customWidth="1"/>
    <col min="5877" max="6099" width="8.88671875" style="216"/>
    <col min="6100" max="6100" width="15.5546875" style="216" customWidth="1"/>
    <col min="6101" max="6101" width="10.77734375" style="216" customWidth="1"/>
    <col min="6102" max="6102" width="11.88671875" style="216" customWidth="1"/>
    <col min="6103" max="6104" width="0" style="216" hidden="1" customWidth="1"/>
    <col min="6105" max="6109" width="11.88671875" style="216" customWidth="1"/>
    <col min="6110" max="6110" width="0" style="216" hidden="1" customWidth="1"/>
    <col min="6111" max="6111" width="11.88671875" style="216" customWidth="1"/>
    <col min="6112" max="6132" width="0" style="216" hidden="1" customWidth="1"/>
    <col min="6133" max="6355" width="8.88671875" style="216"/>
    <col min="6356" max="6356" width="15.5546875" style="216" customWidth="1"/>
    <col min="6357" max="6357" width="10.77734375" style="216" customWidth="1"/>
    <col min="6358" max="6358" width="11.88671875" style="216" customWidth="1"/>
    <col min="6359" max="6360" width="0" style="216" hidden="1" customWidth="1"/>
    <col min="6361" max="6365" width="11.88671875" style="216" customWidth="1"/>
    <col min="6366" max="6366" width="0" style="216" hidden="1" customWidth="1"/>
    <col min="6367" max="6367" width="11.88671875" style="216" customWidth="1"/>
    <col min="6368" max="6388" width="0" style="216" hidden="1" customWidth="1"/>
    <col min="6389" max="6611" width="8.88671875" style="216"/>
    <col min="6612" max="6612" width="15.5546875" style="216" customWidth="1"/>
    <col min="6613" max="6613" width="10.77734375" style="216" customWidth="1"/>
    <col min="6614" max="6614" width="11.88671875" style="216" customWidth="1"/>
    <col min="6615" max="6616" width="0" style="216" hidden="1" customWidth="1"/>
    <col min="6617" max="6621" width="11.88671875" style="216" customWidth="1"/>
    <col min="6622" max="6622" width="0" style="216" hidden="1" customWidth="1"/>
    <col min="6623" max="6623" width="11.88671875" style="216" customWidth="1"/>
    <col min="6624" max="6644" width="0" style="216" hidden="1" customWidth="1"/>
    <col min="6645" max="6867" width="8.88671875" style="216"/>
    <col min="6868" max="6868" width="15.5546875" style="216" customWidth="1"/>
    <col min="6869" max="6869" width="10.77734375" style="216" customWidth="1"/>
    <col min="6870" max="6870" width="11.88671875" style="216" customWidth="1"/>
    <col min="6871" max="6872" width="0" style="216" hidden="1" customWidth="1"/>
    <col min="6873" max="6877" width="11.88671875" style="216" customWidth="1"/>
    <col min="6878" max="6878" width="0" style="216" hidden="1" customWidth="1"/>
    <col min="6879" max="6879" width="11.88671875" style="216" customWidth="1"/>
    <col min="6880" max="6900" width="0" style="216" hidden="1" customWidth="1"/>
    <col min="6901" max="7123" width="8.88671875" style="216"/>
    <col min="7124" max="7124" width="15.5546875" style="216" customWidth="1"/>
    <col min="7125" max="7125" width="10.77734375" style="216" customWidth="1"/>
    <col min="7126" max="7126" width="11.88671875" style="216" customWidth="1"/>
    <col min="7127" max="7128" width="0" style="216" hidden="1" customWidth="1"/>
    <col min="7129" max="7133" width="11.88671875" style="216" customWidth="1"/>
    <col min="7134" max="7134" width="0" style="216" hidden="1" customWidth="1"/>
    <col min="7135" max="7135" width="11.88671875" style="216" customWidth="1"/>
    <col min="7136" max="7156" width="0" style="216" hidden="1" customWidth="1"/>
    <col min="7157" max="7379" width="8.88671875" style="216"/>
    <col min="7380" max="7380" width="15.5546875" style="216" customWidth="1"/>
    <col min="7381" max="7381" width="10.77734375" style="216" customWidth="1"/>
    <col min="7382" max="7382" width="11.88671875" style="216" customWidth="1"/>
    <col min="7383" max="7384" width="0" style="216" hidden="1" customWidth="1"/>
    <col min="7385" max="7389" width="11.88671875" style="216" customWidth="1"/>
    <col min="7390" max="7390" width="0" style="216" hidden="1" customWidth="1"/>
    <col min="7391" max="7391" width="11.88671875" style="216" customWidth="1"/>
    <col min="7392" max="7412" width="0" style="216" hidden="1" customWidth="1"/>
    <col min="7413" max="7635" width="8.88671875" style="216"/>
    <col min="7636" max="7636" width="15.5546875" style="216" customWidth="1"/>
    <col min="7637" max="7637" width="10.77734375" style="216" customWidth="1"/>
    <col min="7638" max="7638" width="11.88671875" style="216" customWidth="1"/>
    <col min="7639" max="7640" width="0" style="216" hidden="1" customWidth="1"/>
    <col min="7641" max="7645" width="11.88671875" style="216" customWidth="1"/>
    <col min="7646" max="7646" width="0" style="216" hidden="1" customWidth="1"/>
    <col min="7647" max="7647" width="11.88671875" style="216" customWidth="1"/>
    <col min="7648" max="7668" width="0" style="216" hidden="1" customWidth="1"/>
    <col min="7669" max="7891" width="8.88671875" style="216"/>
    <col min="7892" max="7892" width="15.5546875" style="216" customWidth="1"/>
    <col min="7893" max="7893" width="10.77734375" style="216" customWidth="1"/>
    <col min="7894" max="7894" width="11.88671875" style="216" customWidth="1"/>
    <col min="7895" max="7896" width="0" style="216" hidden="1" customWidth="1"/>
    <col min="7897" max="7901" width="11.88671875" style="216" customWidth="1"/>
    <col min="7902" max="7902" width="0" style="216" hidden="1" customWidth="1"/>
    <col min="7903" max="7903" width="11.88671875" style="216" customWidth="1"/>
    <col min="7904" max="7924" width="0" style="216" hidden="1" customWidth="1"/>
    <col min="7925" max="8147" width="8.88671875" style="216"/>
    <col min="8148" max="8148" width="15.5546875" style="216" customWidth="1"/>
    <col min="8149" max="8149" width="10.77734375" style="216" customWidth="1"/>
    <col min="8150" max="8150" width="11.88671875" style="216" customWidth="1"/>
    <col min="8151" max="8152" width="0" style="216" hidden="1" customWidth="1"/>
    <col min="8153" max="8157" width="11.88671875" style="216" customWidth="1"/>
    <col min="8158" max="8158" width="0" style="216" hidden="1" customWidth="1"/>
    <col min="8159" max="8159" width="11.88671875" style="216" customWidth="1"/>
    <col min="8160" max="8180" width="0" style="216" hidden="1" customWidth="1"/>
    <col min="8181" max="8403" width="8.88671875" style="216"/>
    <col min="8404" max="8404" width="15.5546875" style="216" customWidth="1"/>
    <col min="8405" max="8405" width="10.77734375" style="216" customWidth="1"/>
    <col min="8406" max="8406" width="11.88671875" style="216" customWidth="1"/>
    <col min="8407" max="8408" width="0" style="216" hidden="1" customWidth="1"/>
    <col min="8409" max="8413" width="11.88671875" style="216" customWidth="1"/>
    <col min="8414" max="8414" width="0" style="216" hidden="1" customWidth="1"/>
    <col min="8415" max="8415" width="11.88671875" style="216" customWidth="1"/>
    <col min="8416" max="8436" width="0" style="216" hidden="1" customWidth="1"/>
    <col min="8437" max="8659" width="8.88671875" style="216"/>
    <col min="8660" max="8660" width="15.5546875" style="216" customWidth="1"/>
    <col min="8661" max="8661" width="10.77734375" style="216" customWidth="1"/>
    <col min="8662" max="8662" width="11.88671875" style="216" customWidth="1"/>
    <col min="8663" max="8664" width="0" style="216" hidden="1" customWidth="1"/>
    <col min="8665" max="8669" width="11.88671875" style="216" customWidth="1"/>
    <col min="8670" max="8670" width="0" style="216" hidden="1" customWidth="1"/>
    <col min="8671" max="8671" width="11.88671875" style="216" customWidth="1"/>
    <col min="8672" max="8692" width="0" style="216" hidden="1" customWidth="1"/>
    <col min="8693" max="8915" width="8.88671875" style="216"/>
    <col min="8916" max="8916" width="15.5546875" style="216" customWidth="1"/>
    <col min="8917" max="8917" width="10.77734375" style="216" customWidth="1"/>
    <col min="8918" max="8918" width="11.88671875" style="216" customWidth="1"/>
    <col min="8919" max="8920" width="0" style="216" hidden="1" customWidth="1"/>
    <col min="8921" max="8925" width="11.88671875" style="216" customWidth="1"/>
    <col min="8926" max="8926" width="0" style="216" hidden="1" customWidth="1"/>
    <col min="8927" max="8927" width="11.88671875" style="216" customWidth="1"/>
    <col min="8928" max="8948" width="0" style="216" hidden="1" customWidth="1"/>
    <col min="8949" max="9171" width="8.88671875" style="216"/>
    <col min="9172" max="9172" width="15.5546875" style="216" customWidth="1"/>
    <col min="9173" max="9173" width="10.77734375" style="216" customWidth="1"/>
    <col min="9174" max="9174" width="11.88671875" style="216" customWidth="1"/>
    <col min="9175" max="9176" width="0" style="216" hidden="1" customWidth="1"/>
    <col min="9177" max="9181" width="11.88671875" style="216" customWidth="1"/>
    <col min="9182" max="9182" width="0" style="216" hidden="1" customWidth="1"/>
    <col min="9183" max="9183" width="11.88671875" style="216" customWidth="1"/>
    <col min="9184" max="9204" width="0" style="216" hidden="1" customWidth="1"/>
    <col min="9205" max="9427" width="8.88671875" style="216"/>
    <col min="9428" max="9428" width="15.5546875" style="216" customWidth="1"/>
    <col min="9429" max="9429" width="10.77734375" style="216" customWidth="1"/>
    <col min="9430" max="9430" width="11.88671875" style="216" customWidth="1"/>
    <col min="9431" max="9432" width="0" style="216" hidden="1" customWidth="1"/>
    <col min="9433" max="9437" width="11.88671875" style="216" customWidth="1"/>
    <col min="9438" max="9438" width="0" style="216" hidden="1" customWidth="1"/>
    <col min="9439" max="9439" width="11.88671875" style="216" customWidth="1"/>
    <col min="9440" max="9460" width="0" style="216" hidden="1" customWidth="1"/>
    <col min="9461" max="9683" width="8.88671875" style="216"/>
    <col min="9684" max="9684" width="15.5546875" style="216" customWidth="1"/>
    <col min="9685" max="9685" width="10.77734375" style="216" customWidth="1"/>
    <col min="9686" max="9686" width="11.88671875" style="216" customWidth="1"/>
    <col min="9687" max="9688" width="0" style="216" hidden="1" customWidth="1"/>
    <col min="9689" max="9693" width="11.88671875" style="216" customWidth="1"/>
    <col min="9694" max="9694" width="0" style="216" hidden="1" customWidth="1"/>
    <col min="9695" max="9695" width="11.88671875" style="216" customWidth="1"/>
    <col min="9696" max="9716" width="0" style="216" hidden="1" customWidth="1"/>
    <col min="9717" max="9939" width="8.88671875" style="216"/>
    <col min="9940" max="9940" width="15.5546875" style="216" customWidth="1"/>
    <col min="9941" max="9941" width="10.77734375" style="216" customWidth="1"/>
    <col min="9942" max="9942" width="11.88671875" style="216" customWidth="1"/>
    <col min="9943" max="9944" width="0" style="216" hidden="1" customWidth="1"/>
    <col min="9945" max="9949" width="11.88671875" style="216" customWidth="1"/>
    <col min="9950" max="9950" width="0" style="216" hidden="1" customWidth="1"/>
    <col min="9951" max="9951" width="11.88671875" style="216" customWidth="1"/>
    <col min="9952" max="9972" width="0" style="216" hidden="1" customWidth="1"/>
    <col min="9973" max="10195" width="8.88671875" style="216"/>
    <col min="10196" max="10196" width="15.5546875" style="216" customWidth="1"/>
    <col min="10197" max="10197" width="10.77734375" style="216" customWidth="1"/>
    <col min="10198" max="10198" width="11.88671875" style="216" customWidth="1"/>
    <col min="10199" max="10200" width="0" style="216" hidden="1" customWidth="1"/>
    <col min="10201" max="10205" width="11.88671875" style="216" customWidth="1"/>
    <col min="10206" max="10206" width="0" style="216" hidden="1" customWidth="1"/>
    <col min="10207" max="10207" width="11.88671875" style="216" customWidth="1"/>
    <col min="10208" max="10228" width="0" style="216" hidden="1" customWidth="1"/>
    <col min="10229" max="10451" width="8.88671875" style="216"/>
    <col min="10452" max="10452" width="15.5546875" style="216" customWidth="1"/>
    <col min="10453" max="10453" width="10.77734375" style="216" customWidth="1"/>
    <col min="10454" max="10454" width="11.88671875" style="216" customWidth="1"/>
    <col min="10455" max="10456" width="0" style="216" hidden="1" customWidth="1"/>
    <col min="10457" max="10461" width="11.88671875" style="216" customWidth="1"/>
    <col min="10462" max="10462" width="0" style="216" hidden="1" customWidth="1"/>
    <col min="10463" max="10463" width="11.88671875" style="216" customWidth="1"/>
    <col min="10464" max="10484" width="0" style="216" hidden="1" customWidth="1"/>
    <col min="10485" max="10707" width="8.88671875" style="216"/>
    <col min="10708" max="10708" width="15.5546875" style="216" customWidth="1"/>
    <col min="10709" max="10709" width="10.77734375" style="216" customWidth="1"/>
    <col min="10710" max="10710" width="11.88671875" style="216" customWidth="1"/>
    <col min="10711" max="10712" width="0" style="216" hidden="1" customWidth="1"/>
    <col min="10713" max="10717" width="11.88671875" style="216" customWidth="1"/>
    <col min="10718" max="10718" width="0" style="216" hidden="1" customWidth="1"/>
    <col min="10719" max="10719" width="11.88671875" style="216" customWidth="1"/>
    <col min="10720" max="10740" width="0" style="216" hidden="1" customWidth="1"/>
    <col min="10741" max="10963" width="8.88671875" style="216"/>
    <col min="10964" max="10964" width="15.5546875" style="216" customWidth="1"/>
    <col min="10965" max="10965" width="10.77734375" style="216" customWidth="1"/>
    <col min="10966" max="10966" width="11.88671875" style="216" customWidth="1"/>
    <col min="10967" max="10968" width="0" style="216" hidden="1" customWidth="1"/>
    <col min="10969" max="10973" width="11.88671875" style="216" customWidth="1"/>
    <col min="10974" max="10974" width="0" style="216" hidden="1" customWidth="1"/>
    <col min="10975" max="10975" width="11.88671875" style="216" customWidth="1"/>
    <col min="10976" max="10996" width="0" style="216" hidden="1" customWidth="1"/>
    <col min="10997" max="11219" width="8.88671875" style="216"/>
    <col min="11220" max="11220" width="15.5546875" style="216" customWidth="1"/>
    <col min="11221" max="11221" width="10.77734375" style="216" customWidth="1"/>
    <col min="11222" max="11222" width="11.88671875" style="216" customWidth="1"/>
    <col min="11223" max="11224" width="0" style="216" hidden="1" customWidth="1"/>
    <col min="11225" max="11229" width="11.88671875" style="216" customWidth="1"/>
    <col min="11230" max="11230" width="0" style="216" hidden="1" customWidth="1"/>
    <col min="11231" max="11231" width="11.88671875" style="216" customWidth="1"/>
    <col min="11232" max="11252" width="0" style="216" hidden="1" customWidth="1"/>
    <col min="11253" max="11475" width="8.88671875" style="216"/>
    <col min="11476" max="11476" width="15.5546875" style="216" customWidth="1"/>
    <col min="11477" max="11477" width="10.77734375" style="216" customWidth="1"/>
    <col min="11478" max="11478" width="11.88671875" style="216" customWidth="1"/>
    <col min="11479" max="11480" width="0" style="216" hidden="1" customWidth="1"/>
    <col min="11481" max="11485" width="11.88671875" style="216" customWidth="1"/>
    <col min="11486" max="11486" width="0" style="216" hidden="1" customWidth="1"/>
    <col min="11487" max="11487" width="11.88671875" style="216" customWidth="1"/>
    <col min="11488" max="11508" width="0" style="216" hidden="1" customWidth="1"/>
    <col min="11509" max="11731" width="8.88671875" style="216"/>
    <col min="11732" max="11732" width="15.5546875" style="216" customWidth="1"/>
    <col min="11733" max="11733" width="10.77734375" style="216" customWidth="1"/>
    <col min="11734" max="11734" width="11.88671875" style="216" customWidth="1"/>
    <col min="11735" max="11736" width="0" style="216" hidden="1" customWidth="1"/>
    <col min="11737" max="11741" width="11.88671875" style="216" customWidth="1"/>
    <col min="11742" max="11742" width="0" style="216" hidden="1" customWidth="1"/>
    <col min="11743" max="11743" width="11.88671875" style="216" customWidth="1"/>
    <col min="11744" max="11764" width="0" style="216" hidden="1" customWidth="1"/>
    <col min="11765" max="11987" width="8.88671875" style="216"/>
    <col min="11988" max="11988" width="15.5546875" style="216" customWidth="1"/>
    <col min="11989" max="11989" width="10.77734375" style="216" customWidth="1"/>
    <col min="11990" max="11990" width="11.88671875" style="216" customWidth="1"/>
    <col min="11991" max="11992" width="0" style="216" hidden="1" customWidth="1"/>
    <col min="11993" max="11997" width="11.88671875" style="216" customWidth="1"/>
    <col min="11998" max="11998" width="0" style="216" hidden="1" customWidth="1"/>
    <col min="11999" max="11999" width="11.88671875" style="216" customWidth="1"/>
    <col min="12000" max="12020" width="0" style="216" hidden="1" customWidth="1"/>
    <col min="12021" max="12243" width="8.88671875" style="216"/>
    <col min="12244" max="12244" width="15.5546875" style="216" customWidth="1"/>
    <col min="12245" max="12245" width="10.77734375" style="216" customWidth="1"/>
    <col min="12246" max="12246" width="11.88671875" style="216" customWidth="1"/>
    <col min="12247" max="12248" width="0" style="216" hidden="1" customWidth="1"/>
    <col min="12249" max="12253" width="11.88671875" style="216" customWidth="1"/>
    <col min="12254" max="12254" width="0" style="216" hidden="1" customWidth="1"/>
    <col min="12255" max="12255" width="11.88671875" style="216" customWidth="1"/>
    <col min="12256" max="12276" width="0" style="216" hidden="1" customWidth="1"/>
    <col min="12277" max="12499" width="8.88671875" style="216"/>
    <col min="12500" max="12500" width="15.5546875" style="216" customWidth="1"/>
    <col min="12501" max="12501" width="10.77734375" style="216" customWidth="1"/>
    <col min="12502" max="12502" width="11.88671875" style="216" customWidth="1"/>
    <col min="12503" max="12504" width="0" style="216" hidden="1" customWidth="1"/>
    <col min="12505" max="12509" width="11.88671875" style="216" customWidth="1"/>
    <col min="12510" max="12510" width="0" style="216" hidden="1" customWidth="1"/>
    <col min="12511" max="12511" width="11.88671875" style="216" customWidth="1"/>
    <col min="12512" max="12532" width="0" style="216" hidden="1" customWidth="1"/>
    <col min="12533" max="12755" width="8.88671875" style="216"/>
    <col min="12756" max="12756" width="15.5546875" style="216" customWidth="1"/>
    <col min="12757" max="12757" width="10.77734375" style="216" customWidth="1"/>
    <col min="12758" max="12758" width="11.88671875" style="216" customWidth="1"/>
    <col min="12759" max="12760" width="0" style="216" hidden="1" customWidth="1"/>
    <col min="12761" max="12765" width="11.88671875" style="216" customWidth="1"/>
    <col min="12766" max="12766" width="0" style="216" hidden="1" customWidth="1"/>
    <col min="12767" max="12767" width="11.88671875" style="216" customWidth="1"/>
    <col min="12768" max="12788" width="0" style="216" hidden="1" customWidth="1"/>
    <col min="12789" max="13011" width="8.88671875" style="216"/>
    <col min="13012" max="13012" width="15.5546875" style="216" customWidth="1"/>
    <col min="13013" max="13013" width="10.77734375" style="216" customWidth="1"/>
    <col min="13014" max="13014" width="11.88671875" style="216" customWidth="1"/>
    <col min="13015" max="13016" width="0" style="216" hidden="1" customWidth="1"/>
    <col min="13017" max="13021" width="11.88671875" style="216" customWidth="1"/>
    <col min="13022" max="13022" width="0" style="216" hidden="1" customWidth="1"/>
    <col min="13023" max="13023" width="11.88671875" style="216" customWidth="1"/>
    <col min="13024" max="13044" width="0" style="216" hidden="1" customWidth="1"/>
    <col min="13045" max="13267" width="8.88671875" style="216"/>
    <col min="13268" max="13268" width="15.5546875" style="216" customWidth="1"/>
    <col min="13269" max="13269" width="10.77734375" style="216" customWidth="1"/>
    <col min="13270" max="13270" width="11.88671875" style="216" customWidth="1"/>
    <col min="13271" max="13272" width="0" style="216" hidden="1" customWidth="1"/>
    <col min="13273" max="13277" width="11.88671875" style="216" customWidth="1"/>
    <col min="13278" max="13278" width="0" style="216" hidden="1" customWidth="1"/>
    <col min="13279" max="13279" width="11.88671875" style="216" customWidth="1"/>
    <col min="13280" max="13300" width="0" style="216" hidden="1" customWidth="1"/>
    <col min="13301" max="13523" width="8.88671875" style="216"/>
    <col min="13524" max="13524" width="15.5546875" style="216" customWidth="1"/>
    <col min="13525" max="13525" width="10.77734375" style="216" customWidth="1"/>
    <col min="13526" max="13526" width="11.88671875" style="216" customWidth="1"/>
    <col min="13527" max="13528" width="0" style="216" hidden="1" customWidth="1"/>
    <col min="13529" max="13533" width="11.88671875" style="216" customWidth="1"/>
    <col min="13534" max="13534" width="0" style="216" hidden="1" customWidth="1"/>
    <col min="13535" max="13535" width="11.88671875" style="216" customWidth="1"/>
    <col min="13536" max="13556" width="0" style="216" hidden="1" customWidth="1"/>
    <col min="13557" max="13779" width="8.88671875" style="216"/>
    <col min="13780" max="13780" width="15.5546875" style="216" customWidth="1"/>
    <col min="13781" max="13781" width="10.77734375" style="216" customWidth="1"/>
    <col min="13782" max="13782" width="11.88671875" style="216" customWidth="1"/>
    <col min="13783" max="13784" width="0" style="216" hidden="1" customWidth="1"/>
    <col min="13785" max="13789" width="11.88671875" style="216" customWidth="1"/>
    <col min="13790" max="13790" width="0" style="216" hidden="1" customWidth="1"/>
    <col min="13791" max="13791" width="11.88671875" style="216" customWidth="1"/>
    <col min="13792" max="13812" width="0" style="216" hidden="1" customWidth="1"/>
    <col min="13813" max="14035" width="8.88671875" style="216"/>
    <col min="14036" max="14036" width="15.5546875" style="216" customWidth="1"/>
    <col min="14037" max="14037" width="10.77734375" style="216" customWidth="1"/>
    <col min="14038" max="14038" width="11.88671875" style="216" customWidth="1"/>
    <col min="14039" max="14040" width="0" style="216" hidden="1" customWidth="1"/>
    <col min="14041" max="14045" width="11.88671875" style="216" customWidth="1"/>
    <col min="14046" max="14046" width="0" style="216" hidden="1" customWidth="1"/>
    <col min="14047" max="14047" width="11.88671875" style="216" customWidth="1"/>
    <col min="14048" max="14068" width="0" style="216" hidden="1" customWidth="1"/>
    <col min="14069" max="14291" width="8.88671875" style="216"/>
    <col min="14292" max="14292" width="15.5546875" style="216" customWidth="1"/>
    <col min="14293" max="14293" width="10.77734375" style="216" customWidth="1"/>
    <col min="14294" max="14294" width="11.88671875" style="216" customWidth="1"/>
    <col min="14295" max="14296" width="0" style="216" hidden="1" customWidth="1"/>
    <col min="14297" max="14301" width="11.88671875" style="216" customWidth="1"/>
    <col min="14302" max="14302" width="0" style="216" hidden="1" customWidth="1"/>
    <col min="14303" max="14303" width="11.88671875" style="216" customWidth="1"/>
    <col min="14304" max="14324" width="0" style="216" hidden="1" customWidth="1"/>
    <col min="14325" max="14547" width="8.88671875" style="216"/>
    <col min="14548" max="14548" width="15.5546875" style="216" customWidth="1"/>
    <col min="14549" max="14549" width="10.77734375" style="216" customWidth="1"/>
    <col min="14550" max="14550" width="11.88671875" style="216" customWidth="1"/>
    <col min="14551" max="14552" width="0" style="216" hidden="1" customWidth="1"/>
    <col min="14553" max="14557" width="11.88671875" style="216" customWidth="1"/>
    <col min="14558" max="14558" width="0" style="216" hidden="1" customWidth="1"/>
    <col min="14559" max="14559" width="11.88671875" style="216" customWidth="1"/>
    <col min="14560" max="14580" width="0" style="216" hidden="1" customWidth="1"/>
    <col min="14581" max="14803" width="8.88671875" style="216"/>
    <col min="14804" max="14804" width="15.5546875" style="216" customWidth="1"/>
    <col min="14805" max="14805" width="10.77734375" style="216" customWidth="1"/>
    <col min="14806" max="14806" width="11.88671875" style="216" customWidth="1"/>
    <col min="14807" max="14808" width="0" style="216" hidden="1" customWidth="1"/>
    <col min="14809" max="14813" width="11.88671875" style="216" customWidth="1"/>
    <col min="14814" max="14814" width="0" style="216" hidden="1" customWidth="1"/>
    <col min="14815" max="14815" width="11.88671875" style="216" customWidth="1"/>
    <col min="14816" max="14836" width="0" style="216" hidden="1" customWidth="1"/>
    <col min="14837" max="15059" width="8.88671875" style="216"/>
    <col min="15060" max="15060" width="15.5546875" style="216" customWidth="1"/>
    <col min="15061" max="15061" width="10.77734375" style="216" customWidth="1"/>
    <col min="15062" max="15062" width="11.88671875" style="216" customWidth="1"/>
    <col min="15063" max="15064" width="0" style="216" hidden="1" customWidth="1"/>
    <col min="15065" max="15069" width="11.88671875" style="216" customWidth="1"/>
    <col min="15070" max="15070" width="0" style="216" hidden="1" customWidth="1"/>
    <col min="15071" max="15071" width="11.88671875" style="216" customWidth="1"/>
    <col min="15072" max="15092" width="0" style="216" hidden="1" customWidth="1"/>
    <col min="15093" max="15315" width="8.88671875" style="216"/>
    <col min="15316" max="15316" width="15.5546875" style="216" customWidth="1"/>
    <col min="15317" max="15317" width="10.77734375" style="216" customWidth="1"/>
    <col min="15318" max="15318" width="11.88671875" style="216" customWidth="1"/>
    <col min="15319" max="15320" width="0" style="216" hidden="1" customWidth="1"/>
    <col min="15321" max="15325" width="11.88671875" style="216" customWidth="1"/>
    <col min="15326" max="15326" width="0" style="216" hidden="1" customWidth="1"/>
    <col min="15327" max="15327" width="11.88671875" style="216" customWidth="1"/>
    <col min="15328" max="15348" width="0" style="216" hidden="1" customWidth="1"/>
    <col min="15349" max="15571" width="8.88671875" style="216"/>
    <col min="15572" max="15572" width="15.5546875" style="216" customWidth="1"/>
    <col min="15573" max="15573" width="10.77734375" style="216" customWidth="1"/>
    <col min="15574" max="15574" width="11.88671875" style="216" customWidth="1"/>
    <col min="15575" max="15576" width="0" style="216" hidden="1" customWidth="1"/>
    <col min="15577" max="15581" width="11.88671875" style="216" customWidth="1"/>
    <col min="15582" max="15582" width="0" style="216" hidden="1" customWidth="1"/>
    <col min="15583" max="15583" width="11.88671875" style="216" customWidth="1"/>
    <col min="15584" max="15604" width="0" style="216" hidden="1" customWidth="1"/>
    <col min="15605" max="15827" width="8.88671875" style="216"/>
    <col min="15828" max="15828" width="15.5546875" style="216" customWidth="1"/>
    <col min="15829" max="15829" width="10.77734375" style="216" customWidth="1"/>
    <col min="15830" max="15830" width="11.88671875" style="216" customWidth="1"/>
    <col min="15831" max="15832" width="0" style="216" hidden="1" customWidth="1"/>
    <col min="15833" max="15837" width="11.88671875" style="216" customWidth="1"/>
    <col min="15838" max="15838" width="0" style="216" hidden="1" customWidth="1"/>
    <col min="15839" max="15839" width="11.88671875" style="216" customWidth="1"/>
    <col min="15840" max="15860" width="0" style="216" hidden="1" customWidth="1"/>
    <col min="15861" max="16083" width="8.88671875" style="216"/>
    <col min="16084" max="16084" width="15.5546875" style="216" customWidth="1"/>
    <col min="16085" max="16085" width="10.77734375" style="216" customWidth="1"/>
    <col min="16086" max="16086" width="11.88671875" style="216" customWidth="1"/>
    <col min="16087" max="16088" width="0" style="216" hidden="1" customWidth="1"/>
    <col min="16089" max="16093" width="11.88671875" style="216" customWidth="1"/>
    <col min="16094" max="16094" width="0" style="216" hidden="1" customWidth="1"/>
    <col min="16095" max="16095" width="11.88671875" style="216" customWidth="1"/>
    <col min="16096" max="16116" width="0" style="216" hidden="1" customWidth="1"/>
    <col min="16117" max="16384" width="8.88671875" style="216"/>
  </cols>
  <sheetData>
    <row r="1" spans="1:22" s="166" customFormat="1" ht="39.950000000000003" customHeight="1">
      <c r="A1" s="418" t="s">
        <v>62</v>
      </c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418"/>
      <c r="P1" s="418"/>
    </row>
    <row r="2" spans="1:22" s="166" customFormat="1" ht="16.5" customHeight="1">
      <c r="A2" s="419" t="str">
        <f>'04-27'!G3</f>
        <v>(2026. 04. 27. 기준)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</row>
    <row r="3" spans="1:22" s="166" customFormat="1" ht="16.5" customHeight="1" thickBot="1">
      <c r="A3" s="167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8" t="s">
        <v>61</v>
      </c>
    </row>
    <row r="4" spans="1:22" s="169" customFormat="1" ht="24.95" customHeight="1">
      <c r="A4" s="421" t="s">
        <v>60</v>
      </c>
      <c r="B4" s="424" t="s">
        <v>59</v>
      </c>
      <c r="C4" s="427" t="s">
        <v>58</v>
      </c>
      <c r="D4" s="434" t="s">
        <v>56</v>
      </c>
      <c r="E4" s="435"/>
      <c r="F4" s="449" t="s">
        <v>57</v>
      </c>
      <c r="G4" s="220"/>
      <c r="H4" s="430" t="s">
        <v>69</v>
      </c>
      <c r="I4" s="430"/>
      <c r="J4" s="430"/>
      <c r="K4" s="430"/>
      <c r="L4" s="430"/>
      <c r="M4" s="430"/>
      <c r="N4" s="431" t="s">
        <v>55</v>
      </c>
      <c r="O4" s="441" t="s">
        <v>56</v>
      </c>
      <c r="P4" s="444" t="s">
        <v>55</v>
      </c>
    </row>
    <row r="5" spans="1:22" s="169" customFormat="1" ht="15.75" customHeight="1">
      <c r="A5" s="422"/>
      <c r="B5" s="425"/>
      <c r="C5" s="428"/>
      <c r="D5" s="436"/>
      <c r="E5" s="437"/>
      <c r="F5" s="450"/>
      <c r="G5" s="170"/>
      <c r="H5" s="170"/>
      <c r="I5" s="171"/>
      <c r="J5" s="170"/>
      <c r="K5" s="170"/>
      <c r="L5" s="170"/>
      <c r="M5" s="115"/>
      <c r="N5" s="432"/>
      <c r="O5" s="442"/>
      <c r="P5" s="445"/>
      <c r="R5" s="170" t="s">
        <v>54</v>
      </c>
      <c r="S5" s="170" t="s">
        <v>54</v>
      </c>
    </row>
    <row r="6" spans="1:22" s="169" customFormat="1" ht="23.25" customHeight="1">
      <c r="A6" s="423"/>
      <c r="B6" s="426"/>
      <c r="C6" s="429"/>
      <c r="D6" s="438"/>
      <c r="E6" s="439"/>
      <c r="F6" s="450"/>
      <c r="G6" s="221"/>
      <c r="H6" s="172"/>
      <c r="I6" s="172"/>
      <c r="J6" s="172"/>
      <c r="K6" s="172"/>
      <c r="L6" s="172"/>
      <c r="M6" s="116" t="s">
        <v>53</v>
      </c>
      <c r="N6" s="432"/>
      <c r="O6" s="442"/>
      <c r="P6" s="445"/>
      <c r="R6" s="172" t="s">
        <v>52</v>
      </c>
      <c r="S6" s="172" t="s">
        <v>51</v>
      </c>
    </row>
    <row r="7" spans="1:22" s="174" customFormat="1" ht="15.75" customHeight="1" thickBot="1">
      <c r="A7" s="23" t="s">
        <v>50</v>
      </c>
      <c r="B7" s="24"/>
      <c r="C7" s="125"/>
      <c r="D7" s="137"/>
      <c r="E7" s="138"/>
      <c r="F7" s="451"/>
      <c r="G7" s="173"/>
      <c r="H7" s="173"/>
      <c r="I7" s="173"/>
      <c r="J7" s="173"/>
      <c r="K7" s="173"/>
      <c r="L7" s="173"/>
      <c r="M7" s="117"/>
      <c r="N7" s="433"/>
      <c r="O7" s="443"/>
      <c r="P7" s="446"/>
      <c r="R7" s="173" t="s">
        <v>49</v>
      </c>
      <c r="S7" s="173" t="s">
        <v>48</v>
      </c>
    </row>
    <row r="8" spans="1:22" s="169" customFormat="1" ht="38.25" customHeight="1">
      <c r="A8" s="175" t="s">
        <v>47</v>
      </c>
      <c r="B8" s="176" t="s">
        <v>77</v>
      </c>
      <c r="C8" s="177">
        <f>'04-27'!D10</f>
        <v>12384</v>
      </c>
      <c r="D8" s="178">
        <v>0</v>
      </c>
      <c r="E8" s="179">
        <v>0</v>
      </c>
      <c r="F8" s="180">
        <f>C8+D8+E8</f>
        <v>12384</v>
      </c>
      <c r="G8" s="181"/>
      <c r="H8" s="181"/>
      <c r="I8" s="181"/>
      <c r="J8" s="181"/>
      <c r="K8" s="181"/>
      <c r="L8" s="181"/>
      <c r="M8" s="182">
        <f t="shared" ref="M8:M14" si="0">SUM(G8:L8)</f>
        <v>0</v>
      </c>
      <c r="N8" s="180">
        <v>-6730</v>
      </c>
      <c r="O8" s="183">
        <v>7800</v>
      </c>
      <c r="P8" s="184">
        <f t="shared" ref="P8:P15" si="1">F8-M8</f>
        <v>12384</v>
      </c>
      <c r="R8" s="181">
        <v>1500</v>
      </c>
      <c r="S8" s="181">
        <v>1000</v>
      </c>
    </row>
    <row r="9" spans="1:22" s="169" customFormat="1" ht="38.25" customHeight="1">
      <c r="A9" s="185" t="s">
        <v>46</v>
      </c>
      <c r="B9" s="186" t="s">
        <v>45</v>
      </c>
      <c r="C9" s="187" t="e">
        <f>'04-27'!#REF!</f>
        <v>#REF!</v>
      </c>
      <c r="D9" s="188">
        <v>0</v>
      </c>
      <c r="E9" s="189">
        <v>0</v>
      </c>
      <c r="F9" s="180" t="e">
        <f t="shared" ref="F9:F15" si="2">C9+D9+E9</f>
        <v>#REF!</v>
      </c>
      <c r="G9" s="190"/>
      <c r="H9" s="190"/>
      <c r="I9" s="190"/>
      <c r="J9" s="190"/>
      <c r="K9" s="190"/>
      <c r="L9" s="190"/>
      <c r="M9" s="191">
        <f t="shared" si="0"/>
        <v>0</v>
      </c>
      <c r="N9" s="180">
        <v>0</v>
      </c>
      <c r="O9" s="192"/>
      <c r="P9" s="193" t="e">
        <f t="shared" si="1"/>
        <v>#REF!</v>
      </c>
      <c r="R9" s="190"/>
      <c r="S9" s="190"/>
      <c r="T9" s="169" t="e">
        <f>C9*3</f>
        <v>#REF!</v>
      </c>
      <c r="U9" s="169">
        <f>M9*3</f>
        <v>0</v>
      </c>
      <c r="V9" s="169" t="e">
        <f>P9*3</f>
        <v>#REF!</v>
      </c>
    </row>
    <row r="10" spans="1:22" s="169" customFormat="1" ht="38.25" customHeight="1">
      <c r="A10" s="185" t="s">
        <v>81</v>
      </c>
      <c r="B10" s="186" t="s">
        <v>82</v>
      </c>
      <c r="C10" s="187" t="e">
        <f>'04-27'!#REF!</f>
        <v>#REF!</v>
      </c>
      <c r="D10" s="188">
        <v>0</v>
      </c>
      <c r="E10" s="189">
        <v>0</v>
      </c>
      <c r="F10" s="180" t="e">
        <f t="shared" si="2"/>
        <v>#REF!</v>
      </c>
      <c r="G10" s="190"/>
      <c r="H10" s="190"/>
      <c r="I10" s="190"/>
      <c r="J10" s="190"/>
      <c r="K10" s="190"/>
      <c r="L10" s="190"/>
      <c r="M10" s="191">
        <f t="shared" si="0"/>
        <v>0</v>
      </c>
      <c r="N10" s="180">
        <v>0</v>
      </c>
      <c r="O10" s="192"/>
      <c r="P10" s="193" t="e">
        <f t="shared" si="1"/>
        <v>#REF!</v>
      </c>
      <c r="R10" s="190"/>
      <c r="S10" s="190"/>
      <c r="T10" s="169" t="e">
        <f>C10*2.08</f>
        <v>#REF!</v>
      </c>
      <c r="U10" s="169">
        <f>M10*2.08</f>
        <v>0</v>
      </c>
      <c r="V10" s="169" t="e">
        <f>P10*2.08</f>
        <v>#REF!</v>
      </c>
    </row>
    <row r="11" spans="1:22" s="169" customFormat="1" ht="38.25" customHeight="1">
      <c r="A11" s="185" t="s">
        <v>96</v>
      </c>
      <c r="B11" s="186" t="s">
        <v>82</v>
      </c>
      <c r="C11" s="187" t="e">
        <f>'04-27'!#REF!</f>
        <v>#REF!</v>
      </c>
      <c r="D11" s="188">
        <v>0</v>
      </c>
      <c r="E11" s="189">
        <v>0</v>
      </c>
      <c r="F11" s="180" t="e">
        <f>C11+D11+E11</f>
        <v>#REF!</v>
      </c>
      <c r="G11" s="190"/>
      <c r="H11" s="190"/>
      <c r="I11" s="190"/>
      <c r="J11" s="190"/>
      <c r="K11" s="190"/>
      <c r="L11" s="190"/>
      <c r="M11" s="191">
        <f t="shared" si="0"/>
        <v>0</v>
      </c>
      <c r="N11" s="180">
        <v>0</v>
      </c>
      <c r="O11" s="192"/>
      <c r="P11" s="193" t="e">
        <f t="shared" si="1"/>
        <v>#REF!</v>
      </c>
      <c r="R11" s="190"/>
      <c r="S11" s="190"/>
      <c r="T11" s="169" t="e">
        <f>C11*2.08</f>
        <v>#REF!</v>
      </c>
      <c r="U11" s="169">
        <f>M11*2.08</f>
        <v>0</v>
      </c>
      <c r="V11" s="169" t="e">
        <f>P11*2.08</f>
        <v>#REF!</v>
      </c>
    </row>
    <row r="12" spans="1:22" s="169" customFormat="1" ht="38.25" customHeight="1">
      <c r="A12" s="185" t="s">
        <v>74</v>
      </c>
      <c r="B12" s="194" t="s">
        <v>44</v>
      </c>
      <c r="C12" s="187" t="e">
        <f>'04-27'!#REF!</f>
        <v>#REF!</v>
      </c>
      <c r="D12" s="195">
        <v>0</v>
      </c>
      <c r="E12" s="196">
        <v>0</v>
      </c>
      <c r="F12" s="180" t="e">
        <f t="shared" si="2"/>
        <v>#REF!</v>
      </c>
      <c r="G12" s="190"/>
      <c r="H12" s="190"/>
      <c r="I12" s="190"/>
      <c r="J12" s="190"/>
      <c r="K12" s="190"/>
      <c r="L12" s="190"/>
      <c r="M12" s="191">
        <f t="shared" si="0"/>
        <v>0</v>
      </c>
      <c r="N12" s="180">
        <v>385</v>
      </c>
      <c r="O12" s="192">
        <v>0</v>
      </c>
      <c r="P12" s="193" t="e">
        <f t="shared" si="1"/>
        <v>#REF!</v>
      </c>
      <c r="R12" s="190"/>
      <c r="S12" s="190"/>
      <c r="T12" s="169" t="e">
        <f>SUM(T9:T10)</f>
        <v>#REF!</v>
      </c>
      <c r="U12" s="169">
        <f>SUM(U9:U10)</f>
        <v>0</v>
      </c>
      <c r="V12" s="169" t="e">
        <f>SUM(V9:V10)</f>
        <v>#REF!</v>
      </c>
    </row>
    <row r="13" spans="1:22" s="169" customFormat="1" ht="38.25" customHeight="1">
      <c r="A13" s="185" t="s">
        <v>43</v>
      </c>
      <c r="B13" s="186" t="s">
        <v>70</v>
      </c>
      <c r="C13" s="187">
        <f>'04-27'!D16</f>
        <v>10524</v>
      </c>
      <c r="D13" s="188">
        <v>0</v>
      </c>
      <c r="E13" s="189">
        <v>0</v>
      </c>
      <c r="F13" s="180">
        <f t="shared" si="2"/>
        <v>10524</v>
      </c>
      <c r="G13" s="190"/>
      <c r="H13" s="190"/>
      <c r="I13" s="190"/>
      <c r="J13" s="190"/>
      <c r="K13" s="190"/>
      <c r="L13" s="190"/>
      <c r="M13" s="191">
        <f t="shared" si="0"/>
        <v>0</v>
      </c>
      <c r="N13" s="180">
        <v>-3301</v>
      </c>
      <c r="O13" s="192">
        <v>4450</v>
      </c>
      <c r="P13" s="193">
        <f t="shared" si="1"/>
        <v>10524</v>
      </c>
      <c r="R13" s="190">
        <v>500</v>
      </c>
      <c r="S13" s="190">
        <v>500</v>
      </c>
      <c r="V13" s="169" t="e">
        <f>V12/2.3</f>
        <v>#REF!</v>
      </c>
    </row>
    <row r="14" spans="1:22" s="169" customFormat="1" ht="38.25" customHeight="1" thickBot="1">
      <c r="A14" s="197" t="s">
        <v>42</v>
      </c>
      <c r="B14" s="198" t="s">
        <v>41</v>
      </c>
      <c r="C14" s="199" t="e">
        <f>'04-27'!#REF!</f>
        <v>#REF!</v>
      </c>
      <c r="D14" s="200">
        <v>0</v>
      </c>
      <c r="E14" s="201">
        <v>0</v>
      </c>
      <c r="F14" s="180" t="e">
        <f t="shared" si="2"/>
        <v>#REF!</v>
      </c>
      <c r="G14" s="202"/>
      <c r="H14" s="202"/>
      <c r="I14" s="202"/>
      <c r="J14" s="202"/>
      <c r="K14" s="202"/>
      <c r="L14" s="202"/>
      <c r="M14" s="203">
        <f t="shared" si="0"/>
        <v>0</v>
      </c>
      <c r="N14" s="204">
        <v>0</v>
      </c>
      <c r="O14" s="205">
        <v>0</v>
      </c>
      <c r="P14" s="206" t="e">
        <f t="shared" si="1"/>
        <v>#REF!</v>
      </c>
      <c r="R14" s="202"/>
      <c r="S14" s="202"/>
    </row>
    <row r="15" spans="1:22" s="166" customFormat="1" ht="40.5" customHeight="1" thickTop="1" thickBot="1">
      <c r="A15" s="447" t="s">
        <v>40</v>
      </c>
      <c r="B15" s="448"/>
      <c r="C15" s="207" t="e">
        <f>SUM(C8:C14)</f>
        <v>#REF!</v>
      </c>
      <c r="D15" s="208">
        <f>SUM(D8:D14)</f>
        <v>0</v>
      </c>
      <c r="E15" s="209">
        <f>SUM(E8:E14)</f>
        <v>0</v>
      </c>
      <c r="F15" s="210" t="e">
        <f t="shared" si="2"/>
        <v>#REF!</v>
      </c>
      <c r="G15" s="211">
        <f t="shared" ref="G15:M15" si="3">SUM(G8:G14)</f>
        <v>0</v>
      </c>
      <c r="H15" s="211">
        <f t="shared" si="3"/>
        <v>0</v>
      </c>
      <c r="I15" s="211">
        <f t="shared" si="3"/>
        <v>0</v>
      </c>
      <c r="J15" s="211">
        <f t="shared" si="3"/>
        <v>0</v>
      </c>
      <c r="K15" s="211">
        <f t="shared" si="3"/>
        <v>0</v>
      </c>
      <c r="L15" s="211">
        <f t="shared" si="3"/>
        <v>0</v>
      </c>
      <c r="M15" s="212">
        <f t="shared" si="3"/>
        <v>0</v>
      </c>
      <c r="N15" s="210">
        <v>-10415</v>
      </c>
      <c r="O15" s="213">
        <v>22000</v>
      </c>
      <c r="P15" s="214" t="e">
        <f t="shared" si="1"/>
        <v>#REF!</v>
      </c>
      <c r="R15" s="211">
        <f>SUM(R8:R14)</f>
        <v>2000</v>
      </c>
      <c r="S15" s="211">
        <f>SUM(S8:S14)</f>
        <v>1500</v>
      </c>
    </row>
    <row r="16" spans="1:22" s="215" customFormat="1" ht="6" customHeight="1"/>
    <row r="17" spans="4:13" s="215" customFormat="1" ht="16.5">
      <c r="D17" s="452" t="s">
        <v>86</v>
      </c>
      <c r="E17" s="452"/>
      <c r="F17" s="440" t="s">
        <v>85</v>
      </c>
      <c r="G17" s="217">
        <f t="shared" ref="G17:M17" si="4">G8*1</f>
        <v>0</v>
      </c>
      <c r="H17" s="217">
        <f t="shared" si="4"/>
        <v>0</v>
      </c>
      <c r="I17" s="217">
        <f t="shared" si="4"/>
        <v>0</v>
      </c>
      <c r="J17" s="217">
        <f t="shared" si="4"/>
        <v>0</v>
      </c>
      <c r="K17" s="217">
        <f t="shared" si="4"/>
        <v>0</v>
      </c>
      <c r="L17" s="217">
        <f t="shared" si="4"/>
        <v>0</v>
      </c>
      <c r="M17" s="217">
        <f t="shared" si="4"/>
        <v>0</v>
      </c>
    </row>
    <row r="18" spans="4:13" s="215" customFormat="1" ht="16.5">
      <c r="D18" s="452" t="s">
        <v>87</v>
      </c>
      <c r="E18" s="452"/>
      <c r="F18" s="440"/>
      <c r="G18" s="217">
        <f t="shared" ref="G18:M18" si="5">G9*3</f>
        <v>0</v>
      </c>
      <c r="H18" s="217">
        <f t="shared" si="5"/>
        <v>0</v>
      </c>
      <c r="I18" s="217">
        <f t="shared" si="5"/>
        <v>0</v>
      </c>
      <c r="J18" s="217">
        <f t="shared" si="5"/>
        <v>0</v>
      </c>
      <c r="K18" s="217">
        <f t="shared" si="5"/>
        <v>0</v>
      </c>
      <c r="L18" s="217">
        <f t="shared" si="5"/>
        <v>0</v>
      </c>
      <c r="M18" s="217">
        <f t="shared" si="5"/>
        <v>0</v>
      </c>
    </row>
    <row r="19" spans="4:13" s="215" customFormat="1" ht="16.5">
      <c r="D19" s="452" t="s">
        <v>88</v>
      </c>
      <c r="E19" s="452"/>
      <c r="F19" s="440"/>
      <c r="G19" s="217">
        <f t="shared" ref="G19:M19" si="6">G10*2.08</f>
        <v>0</v>
      </c>
      <c r="H19" s="217">
        <f t="shared" si="6"/>
        <v>0</v>
      </c>
      <c r="I19" s="217">
        <f t="shared" si="6"/>
        <v>0</v>
      </c>
      <c r="J19" s="217">
        <f t="shared" si="6"/>
        <v>0</v>
      </c>
      <c r="K19" s="217">
        <f t="shared" si="6"/>
        <v>0</v>
      </c>
      <c r="L19" s="217">
        <f t="shared" si="6"/>
        <v>0</v>
      </c>
      <c r="M19" s="217">
        <f t="shared" si="6"/>
        <v>0</v>
      </c>
    </row>
    <row r="20" spans="4:13" s="215" customFormat="1" ht="16.5">
      <c r="D20" s="452" t="s">
        <v>89</v>
      </c>
      <c r="E20" s="452"/>
      <c r="F20" s="440"/>
      <c r="G20" s="218">
        <f t="shared" ref="G20:M20" si="7">G12*2.05</f>
        <v>0</v>
      </c>
      <c r="H20" s="218">
        <f t="shared" si="7"/>
        <v>0</v>
      </c>
      <c r="I20" s="218">
        <f t="shared" si="7"/>
        <v>0</v>
      </c>
      <c r="J20" s="218">
        <f t="shared" si="7"/>
        <v>0</v>
      </c>
      <c r="K20" s="218">
        <f t="shared" si="7"/>
        <v>0</v>
      </c>
      <c r="L20" s="218">
        <f t="shared" si="7"/>
        <v>0</v>
      </c>
      <c r="M20" s="218">
        <f t="shared" si="7"/>
        <v>0</v>
      </c>
    </row>
    <row r="21" spans="4:13" s="215" customFormat="1" ht="16.5">
      <c r="D21" s="452" t="s">
        <v>90</v>
      </c>
      <c r="E21" s="452"/>
      <c r="F21" s="440"/>
      <c r="G21" s="217">
        <f t="shared" ref="G21:M21" si="8">G13*1</f>
        <v>0</v>
      </c>
      <c r="H21" s="217">
        <f t="shared" si="8"/>
        <v>0</v>
      </c>
      <c r="I21" s="217">
        <f t="shared" si="8"/>
        <v>0</v>
      </c>
      <c r="J21" s="217">
        <f t="shared" si="8"/>
        <v>0</v>
      </c>
      <c r="K21" s="217">
        <f t="shared" si="8"/>
        <v>0</v>
      </c>
      <c r="L21" s="217">
        <f t="shared" si="8"/>
        <v>0</v>
      </c>
      <c r="M21" s="217">
        <f t="shared" si="8"/>
        <v>0</v>
      </c>
    </row>
    <row r="22" spans="4:13" s="215" customFormat="1" ht="16.5">
      <c r="D22" s="452" t="s">
        <v>91</v>
      </c>
      <c r="E22" s="452"/>
      <c r="F22" s="440"/>
      <c r="G22" s="217">
        <f t="shared" ref="G22:M22" si="9">G14*2</f>
        <v>0</v>
      </c>
      <c r="H22" s="217">
        <f t="shared" si="9"/>
        <v>0</v>
      </c>
      <c r="I22" s="217">
        <f t="shared" si="9"/>
        <v>0</v>
      </c>
      <c r="J22" s="217">
        <f t="shared" si="9"/>
        <v>0</v>
      </c>
      <c r="K22" s="217">
        <f t="shared" si="9"/>
        <v>0</v>
      </c>
      <c r="L22" s="217">
        <f t="shared" si="9"/>
        <v>0</v>
      </c>
      <c r="M22" s="217">
        <f t="shared" si="9"/>
        <v>0</v>
      </c>
    </row>
    <row r="23" spans="4:13" s="215" customFormat="1" ht="16.5">
      <c r="D23" s="453"/>
      <c r="E23" s="454"/>
      <c r="F23" s="440"/>
      <c r="G23" s="219"/>
      <c r="H23" s="219"/>
      <c r="I23" s="219"/>
      <c r="J23" s="219"/>
      <c r="K23" s="219"/>
      <c r="L23" s="219"/>
      <c r="M23" s="219"/>
    </row>
    <row r="24" spans="4:13" s="215" customFormat="1" ht="16.5">
      <c r="D24" s="453" t="s">
        <v>92</v>
      </c>
      <c r="E24" s="454"/>
      <c r="F24" s="440"/>
      <c r="G24" s="217">
        <f t="shared" ref="G24:M24" si="10">SUM(G17:G23)</f>
        <v>0</v>
      </c>
      <c r="H24" s="217">
        <f t="shared" si="10"/>
        <v>0</v>
      </c>
      <c r="I24" s="217">
        <f t="shared" si="10"/>
        <v>0</v>
      </c>
      <c r="J24" s="217">
        <f t="shared" si="10"/>
        <v>0</v>
      </c>
      <c r="K24" s="217">
        <f t="shared" si="10"/>
        <v>0</v>
      </c>
      <c r="L24" s="217">
        <f t="shared" si="10"/>
        <v>0</v>
      </c>
      <c r="M24" s="217">
        <f t="shared" si="10"/>
        <v>0</v>
      </c>
    </row>
    <row r="25" spans="4:13" s="215" customFormat="1" ht="16.5"/>
    <row r="26" spans="4:13" s="215" customFormat="1" ht="16.5"/>
    <row r="27" spans="4:13" s="215" customFormat="1" ht="16.5"/>
    <row r="28" spans="4:13" s="215" customFormat="1" ht="16.5"/>
    <row r="29" spans="4:13" s="215" customFormat="1" ht="16.5"/>
    <row r="30" spans="4:13" s="215" customFormat="1" ht="16.5"/>
    <row r="31" spans="4:13" s="215" customFormat="1" ht="16.5"/>
    <row r="32" spans="4:13" s="215" customFormat="1" ht="16.5"/>
    <row r="33" s="215" customFormat="1" ht="16.5"/>
    <row r="34" s="215" customFormat="1" ht="16.5"/>
    <row r="35" s="215" customFormat="1" ht="16.5"/>
    <row r="36" s="215" customFormat="1" ht="16.5"/>
    <row r="37" s="215" customFormat="1" ht="16.5"/>
    <row r="38" s="215" customFormat="1" ht="16.5"/>
    <row r="39" s="215" customFormat="1" ht="16.5"/>
    <row r="40" s="215" customFormat="1" ht="16.5"/>
    <row r="41" s="215" customFormat="1" ht="16.5"/>
    <row r="42" s="215" customFormat="1" ht="16.5"/>
    <row r="43" s="215" customFormat="1" ht="16.5"/>
    <row r="44" s="215" customFormat="1" ht="16.5"/>
    <row r="45" s="215" customFormat="1" ht="16.5"/>
    <row r="46" s="215" customFormat="1" ht="16.5"/>
    <row r="47" s="215" customFormat="1" ht="16.5"/>
    <row r="48" s="215" customFormat="1" ht="16.5"/>
    <row r="49" s="215" customFormat="1" ht="16.5"/>
    <row r="50" s="215" customFormat="1" ht="16.5"/>
    <row r="51" s="215" customFormat="1" ht="16.5"/>
    <row r="52" s="215" customFormat="1" ht="16.5"/>
    <row r="53" s="215" customFormat="1" ht="16.5"/>
    <row r="54" s="215" customFormat="1" ht="16.5"/>
    <row r="55" s="215" customFormat="1" ht="16.5"/>
    <row r="56" s="215" customFormat="1" ht="16.5"/>
    <row r="57" s="215" customFormat="1" ht="16.5"/>
    <row r="58" s="215" customFormat="1" ht="16.5"/>
    <row r="59" s="215" customFormat="1" ht="16.5"/>
    <row r="60" s="215" customFormat="1" ht="16.5"/>
    <row r="61" s="215" customFormat="1" ht="16.5"/>
    <row r="62" s="215" customFormat="1" ht="16.5"/>
    <row r="63" s="215" customFormat="1" ht="16.5"/>
    <row r="64" s="215" customFormat="1" ht="16.5"/>
    <row r="65" s="215" customFormat="1" ht="16.5"/>
    <row r="66" s="215" customFormat="1" ht="16.5"/>
    <row r="67" s="215" customFormat="1" ht="16.5"/>
    <row r="68" s="215" customFormat="1" ht="16.5"/>
    <row r="69" s="215" customFormat="1" ht="16.5"/>
    <row r="70" s="215" customFormat="1" ht="16.5"/>
    <row r="71" s="215" customFormat="1" ht="16.5"/>
    <row r="72" s="215" customFormat="1" ht="16.5"/>
    <row r="73" s="215" customFormat="1" ht="16.5"/>
    <row r="74" s="215" customFormat="1" ht="16.5"/>
    <row r="75" s="215" customFormat="1" ht="16.5"/>
    <row r="76" s="215" customFormat="1" ht="16.5"/>
    <row r="77" s="215" customFormat="1" ht="16.5"/>
    <row r="78" s="215" customFormat="1" ht="16.5"/>
    <row r="79" s="215" customFormat="1" ht="16.5"/>
    <row r="80" s="215" customFormat="1" ht="16.5"/>
    <row r="81" s="215" customFormat="1" ht="16.5"/>
    <row r="82" s="215" customFormat="1" ht="16.5"/>
    <row r="83" s="215" customFormat="1" ht="16.5"/>
    <row r="84" s="215" customFormat="1" ht="16.5"/>
    <row r="85" s="215" customFormat="1" ht="16.5"/>
    <row r="86" s="215" customFormat="1" ht="16.5"/>
    <row r="87" s="215" customFormat="1" ht="16.5"/>
    <row r="88" s="215" customFormat="1" ht="16.5"/>
    <row r="89" s="215" customFormat="1" ht="16.5"/>
  </sheetData>
  <mergeCells count="21">
    <mergeCell ref="F17:F24"/>
    <mergeCell ref="O4:O7"/>
    <mergeCell ref="P4:P7"/>
    <mergeCell ref="A15:B15"/>
    <mergeCell ref="F4:F7"/>
    <mergeCell ref="D21:E21"/>
    <mergeCell ref="D20:E20"/>
    <mergeCell ref="D19:E19"/>
    <mergeCell ref="D18:E18"/>
    <mergeCell ref="D17:E17"/>
    <mergeCell ref="D22:E22"/>
    <mergeCell ref="D23:E23"/>
    <mergeCell ref="D24:E24"/>
    <mergeCell ref="A1:P1"/>
    <mergeCell ref="A2:P2"/>
    <mergeCell ref="A4:A6"/>
    <mergeCell ref="B4:B6"/>
    <mergeCell ref="C4:C6"/>
    <mergeCell ref="H4:M4"/>
    <mergeCell ref="N4:N7"/>
    <mergeCell ref="D4:E6"/>
  </mergeCells>
  <phoneticPr fontId="2" type="noConversion"/>
  <pageMargins left="0.86614173228346458" right="0.15748031496062992" top="0.78740157480314965" bottom="0.15748031496062992" header="0.31496062992125984" footer="0.15748031496062992"/>
  <pageSetup paperSize="9" scale="8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0056-BF05-4C81-932C-49942F610D5F}">
  <sheetPr>
    <tabColor rgb="FF66FFFF"/>
  </sheetPr>
  <dimension ref="A1:M120"/>
  <sheetViews>
    <sheetView zoomScaleNormal="100" zoomScaleSheetLayoutView="100" workbookViewId="0"/>
  </sheetViews>
  <sheetFormatPr defaultRowHeight="16.5"/>
  <cols>
    <col min="1" max="1" width="12.77734375" style="25" customWidth="1"/>
    <col min="2" max="9" width="10.33203125" style="25" customWidth="1"/>
    <col min="10" max="10" width="12.77734375" style="25" customWidth="1"/>
    <col min="11" max="11" width="8.88671875" style="118" customWidth="1"/>
    <col min="12" max="13" width="8.88671875" style="118"/>
    <col min="14" max="226" width="8.88671875" style="25"/>
    <col min="227" max="227" width="12.77734375" style="25" customWidth="1"/>
    <col min="228" max="233" width="10.33203125" style="25" customWidth="1"/>
    <col min="234" max="237" width="0" style="25" hidden="1" customWidth="1"/>
    <col min="238" max="238" width="12.77734375" style="25" customWidth="1"/>
    <col min="239" max="482" width="8.88671875" style="25"/>
    <col min="483" max="483" width="12.77734375" style="25" customWidth="1"/>
    <col min="484" max="489" width="10.33203125" style="25" customWidth="1"/>
    <col min="490" max="493" width="0" style="25" hidden="1" customWidth="1"/>
    <col min="494" max="494" width="12.77734375" style="25" customWidth="1"/>
    <col min="495" max="738" width="8.88671875" style="25"/>
    <col min="739" max="739" width="12.77734375" style="25" customWidth="1"/>
    <col min="740" max="745" width="10.33203125" style="25" customWidth="1"/>
    <col min="746" max="749" width="0" style="25" hidden="1" customWidth="1"/>
    <col min="750" max="750" width="12.77734375" style="25" customWidth="1"/>
    <col min="751" max="994" width="8.88671875" style="25"/>
    <col min="995" max="995" width="12.77734375" style="25" customWidth="1"/>
    <col min="996" max="1001" width="10.33203125" style="25" customWidth="1"/>
    <col min="1002" max="1005" width="0" style="25" hidden="1" customWidth="1"/>
    <col min="1006" max="1006" width="12.77734375" style="25" customWidth="1"/>
    <col min="1007" max="1250" width="8.88671875" style="25"/>
    <col min="1251" max="1251" width="12.77734375" style="25" customWidth="1"/>
    <col min="1252" max="1257" width="10.33203125" style="25" customWidth="1"/>
    <col min="1258" max="1261" width="0" style="25" hidden="1" customWidth="1"/>
    <col min="1262" max="1262" width="12.77734375" style="25" customWidth="1"/>
    <col min="1263" max="1506" width="8.88671875" style="25"/>
    <col min="1507" max="1507" width="12.77734375" style="25" customWidth="1"/>
    <col min="1508" max="1513" width="10.33203125" style="25" customWidth="1"/>
    <col min="1514" max="1517" width="0" style="25" hidden="1" customWidth="1"/>
    <col min="1518" max="1518" width="12.77734375" style="25" customWidth="1"/>
    <col min="1519" max="1762" width="8.88671875" style="25"/>
    <col min="1763" max="1763" width="12.77734375" style="25" customWidth="1"/>
    <col min="1764" max="1769" width="10.33203125" style="25" customWidth="1"/>
    <col min="1770" max="1773" width="0" style="25" hidden="1" customWidth="1"/>
    <col min="1774" max="1774" width="12.77734375" style="25" customWidth="1"/>
    <col min="1775" max="2018" width="8.88671875" style="25"/>
    <col min="2019" max="2019" width="12.77734375" style="25" customWidth="1"/>
    <col min="2020" max="2025" width="10.33203125" style="25" customWidth="1"/>
    <col min="2026" max="2029" width="0" style="25" hidden="1" customWidth="1"/>
    <col min="2030" max="2030" width="12.77734375" style="25" customWidth="1"/>
    <col min="2031" max="2274" width="8.88671875" style="25"/>
    <col min="2275" max="2275" width="12.77734375" style="25" customWidth="1"/>
    <col min="2276" max="2281" width="10.33203125" style="25" customWidth="1"/>
    <col min="2282" max="2285" width="0" style="25" hidden="1" customWidth="1"/>
    <col min="2286" max="2286" width="12.77734375" style="25" customWidth="1"/>
    <col min="2287" max="2530" width="8.88671875" style="25"/>
    <col min="2531" max="2531" width="12.77734375" style="25" customWidth="1"/>
    <col min="2532" max="2537" width="10.33203125" style="25" customWidth="1"/>
    <col min="2538" max="2541" width="0" style="25" hidden="1" customWidth="1"/>
    <col min="2542" max="2542" width="12.77734375" style="25" customWidth="1"/>
    <col min="2543" max="2786" width="8.88671875" style="25"/>
    <col min="2787" max="2787" width="12.77734375" style="25" customWidth="1"/>
    <col min="2788" max="2793" width="10.33203125" style="25" customWidth="1"/>
    <col min="2794" max="2797" width="0" style="25" hidden="1" customWidth="1"/>
    <col min="2798" max="2798" width="12.77734375" style="25" customWidth="1"/>
    <col min="2799" max="3042" width="8.88671875" style="25"/>
    <col min="3043" max="3043" width="12.77734375" style="25" customWidth="1"/>
    <col min="3044" max="3049" width="10.33203125" style="25" customWidth="1"/>
    <col min="3050" max="3053" width="0" style="25" hidden="1" customWidth="1"/>
    <col min="3054" max="3054" width="12.77734375" style="25" customWidth="1"/>
    <col min="3055" max="3298" width="8.88671875" style="25"/>
    <col min="3299" max="3299" width="12.77734375" style="25" customWidth="1"/>
    <col min="3300" max="3305" width="10.33203125" style="25" customWidth="1"/>
    <col min="3306" max="3309" width="0" style="25" hidden="1" customWidth="1"/>
    <col min="3310" max="3310" width="12.77734375" style="25" customWidth="1"/>
    <col min="3311" max="3554" width="8.88671875" style="25"/>
    <col min="3555" max="3555" width="12.77734375" style="25" customWidth="1"/>
    <col min="3556" max="3561" width="10.33203125" style="25" customWidth="1"/>
    <col min="3562" max="3565" width="0" style="25" hidden="1" customWidth="1"/>
    <col min="3566" max="3566" width="12.77734375" style="25" customWidth="1"/>
    <col min="3567" max="3810" width="8.88671875" style="25"/>
    <col min="3811" max="3811" width="12.77734375" style="25" customWidth="1"/>
    <col min="3812" max="3817" width="10.33203125" style="25" customWidth="1"/>
    <col min="3818" max="3821" width="0" style="25" hidden="1" customWidth="1"/>
    <col min="3822" max="3822" width="12.77734375" style="25" customWidth="1"/>
    <col min="3823" max="4066" width="8.88671875" style="25"/>
    <col min="4067" max="4067" width="12.77734375" style="25" customWidth="1"/>
    <col min="4068" max="4073" width="10.33203125" style="25" customWidth="1"/>
    <col min="4074" max="4077" width="0" style="25" hidden="1" customWidth="1"/>
    <col min="4078" max="4078" width="12.77734375" style="25" customWidth="1"/>
    <col min="4079" max="4322" width="8.88671875" style="25"/>
    <col min="4323" max="4323" width="12.77734375" style="25" customWidth="1"/>
    <col min="4324" max="4329" width="10.33203125" style="25" customWidth="1"/>
    <col min="4330" max="4333" width="0" style="25" hidden="1" customWidth="1"/>
    <col min="4334" max="4334" width="12.77734375" style="25" customWidth="1"/>
    <col min="4335" max="4578" width="8.88671875" style="25"/>
    <col min="4579" max="4579" width="12.77734375" style="25" customWidth="1"/>
    <col min="4580" max="4585" width="10.33203125" style="25" customWidth="1"/>
    <col min="4586" max="4589" width="0" style="25" hidden="1" customWidth="1"/>
    <col min="4590" max="4590" width="12.77734375" style="25" customWidth="1"/>
    <col min="4591" max="4834" width="8.88671875" style="25"/>
    <col min="4835" max="4835" width="12.77734375" style="25" customWidth="1"/>
    <col min="4836" max="4841" width="10.33203125" style="25" customWidth="1"/>
    <col min="4842" max="4845" width="0" style="25" hidden="1" customWidth="1"/>
    <col min="4846" max="4846" width="12.77734375" style="25" customWidth="1"/>
    <col min="4847" max="5090" width="8.88671875" style="25"/>
    <col min="5091" max="5091" width="12.77734375" style="25" customWidth="1"/>
    <col min="5092" max="5097" width="10.33203125" style="25" customWidth="1"/>
    <col min="5098" max="5101" width="0" style="25" hidden="1" customWidth="1"/>
    <col min="5102" max="5102" width="12.77734375" style="25" customWidth="1"/>
    <col min="5103" max="5346" width="8.88671875" style="25"/>
    <col min="5347" max="5347" width="12.77734375" style="25" customWidth="1"/>
    <col min="5348" max="5353" width="10.33203125" style="25" customWidth="1"/>
    <col min="5354" max="5357" width="0" style="25" hidden="1" customWidth="1"/>
    <col min="5358" max="5358" width="12.77734375" style="25" customWidth="1"/>
    <col min="5359" max="5602" width="8.88671875" style="25"/>
    <col min="5603" max="5603" width="12.77734375" style="25" customWidth="1"/>
    <col min="5604" max="5609" width="10.33203125" style="25" customWidth="1"/>
    <col min="5610" max="5613" width="0" style="25" hidden="1" customWidth="1"/>
    <col min="5614" max="5614" width="12.77734375" style="25" customWidth="1"/>
    <col min="5615" max="5858" width="8.88671875" style="25"/>
    <col min="5859" max="5859" width="12.77734375" style="25" customWidth="1"/>
    <col min="5860" max="5865" width="10.33203125" style="25" customWidth="1"/>
    <col min="5866" max="5869" width="0" style="25" hidden="1" customWidth="1"/>
    <col min="5870" max="5870" width="12.77734375" style="25" customWidth="1"/>
    <col min="5871" max="6114" width="8.88671875" style="25"/>
    <col min="6115" max="6115" width="12.77734375" style="25" customWidth="1"/>
    <col min="6116" max="6121" width="10.33203125" style="25" customWidth="1"/>
    <col min="6122" max="6125" width="0" style="25" hidden="1" customWidth="1"/>
    <col min="6126" max="6126" width="12.77734375" style="25" customWidth="1"/>
    <col min="6127" max="6370" width="8.88671875" style="25"/>
    <col min="6371" max="6371" width="12.77734375" style="25" customWidth="1"/>
    <col min="6372" max="6377" width="10.33203125" style="25" customWidth="1"/>
    <col min="6378" max="6381" width="0" style="25" hidden="1" customWidth="1"/>
    <col min="6382" max="6382" width="12.77734375" style="25" customWidth="1"/>
    <col min="6383" max="6626" width="8.88671875" style="25"/>
    <col min="6627" max="6627" width="12.77734375" style="25" customWidth="1"/>
    <col min="6628" max="6633" width="10.33203125" style="25" customWidth="1"/>
    <col min="6634" max="6637" width="0" style="25" hidden="1" customWidth="1"/>
    <col min="6638" max="6638" width="12.77734375" style="25" customWidth="1"/>
    <col min="6639" max="6882" width="8.88671875" style="25"/>
    <col min="6883" max="6883" width="12.77734375" style="25" customWidth="1"/>
    <col min="6884" max="6889" width="10.33203125" style="25" customWidth="1"/>
    <col min="6890" max="6893" width="0" style="25" hidden="1" customWidth="1"/>
    <col min="6894" max="6894" width="12.77734375" style="25" customWidth="1"/>
    <col min="6895" max="7138" width="8.88671875" style="25"/>
    <col min="7139" max="7139" width="12.77734375" style="25" customWidth="1"/>
    <col min="7140" max="7145" width="10.33203125" style="25" customWidth="1"/>
    <col min="7146" max="7149" width="0" style="25" hidden="1" customWidth="1"/>
    <col min="7150" max="7150" width="12.77734375" style="25" customWidth="1"/>
    <col min="7151" max="7394" width="8.88671875" style="25"/>
    <col min="7395" max="7395" width="12.77734375" style="25" customWidth="1"/>
    <col min="7396" max="7401" width="10.33203125" style="25" customWidth="1"/>
    <col min="7402" max="7405" width="0" style="25" hidden="1" customWidth="1"/>
    <col min="7406" max="7406" width="12.77734375" style="25" customWidth="1"/>
    <col min="7407" max="7650" width="8.88671875" style="25"/>
    <col min="7651" max="7651" width="12.77734375" style="25" customWidth="1"/>
    <col min="7652" max="7657" width="10.33203125" style="25" customWidth="1"/>
    <col min="7658" max="7661" width="0" style="25" hidden="1" customWidth="1"/>
    <col min="7662" max="7662" width="12.77734375" style="25" customWidth="1"/>
    <col min="7663" max="7906" width="8.88671875" style="25"/>
    <col min="7907" max="7907" width="12.77734375" style="25" customWidth="1"/>
    <col min="7908" max="7913" width="10.33203125" style="25" customWidth="1"/>
    <col min="7914" max="7917" width="0" style="25" hidden="1" customWidth="1"/>
    <col min="7918" max="7918" width="12.77734375" style="25" customWidth="1"/>
    <col min="7919" max="8162" width="8.88671875" style="25"/>
    <col min="8163" max="8163" width="12.77734375" style="25" customWidth="1"/>
    <col min="8164" max="8169" width="10.33203125" style="25" customWidth="1"/>
    <col min="8170" max="8173" width="0" style="25" hidden="1" customWidth="1"/>
    <col min="8174" max="8174" width="12.77734375" style="25" customWidth="1"/>
    <col min="8175" max="8418" width="8.88671875" style="25"/>
    <col min="8419" max="8419" width="12.77734375" style="25" customWidth="1"/>
    <col min="8420" max="8425" width="10.33203125" style="25" customWidth="1"/>
    <col min="8426" max="8429" width="0" style="25" hidden="1" customWidth="1"/>
    <col min="8430" max="8430" width="12.77734375" style="25" customWidth="1"/>
    <col min="8431" max="8674" width="8.88671875" style="25"/>
    <col min="8675" max="8675" width="12.77734375" style="25" customWidth="1"/>
    <col min="8676" max="8681" width="10.33203125" style="25" customWidth="1"/>
    <col min="8682" max="8685" width="0" style="25" hidden="1" customWidth="1"/>
    <col min="8686" max="8686" width="12.77734375" style="25" customWidth="1"/>
    <col min="8687" max="8930" width="8.88671875" style="25"/>
    <col min="8931" max="8931" width="12.77734375" style="25" customWidth="1"/>
    <col min="8932" max="8937" width="10.33203125" style="25" customWidth="1"/>
    <col min="8938" max="8941" width="0" style="25" hidden="1" customWidth="1"/>
    <col min="8942" max="8942" width="12.77734375" style="25" customWidth="1"/>
    <col min="8943" max="9186" width="8.88671875" style="25"/>
    <col min="9187" max="9187" width="12.77734375" style="25" customWidth="1"/>
    <col min="9188" max="9193" width="10.33203125" style="25" customWidth="1"/>
    <col min="9194" max="9197" width="0" style="25" hidden="1" customWidth="1"/>
    <col min="9198" max="9198" width="12.77734375" style="25" customWidth="1"/>
    <col min="9199" max="9442" width="8.88671875" style="25"/>
    <col min="9443" max="9443" width="12.77734375" style="25" customWidth="1"/>
    <col min="9444" max="9449" width="10.33203125" style="25" customWidth="1"/>
    <col min="9450" max="9453" width="0" style="25" hidden="1" customWidth="1"/>
    <col min="9454" max="9454" width="12.77734375" style="25" customWidth="1"/>
    <col min="9455" max="9698" width="8.88671875" style="25"/>
    <col min="9699" max="9699" width="12.77734375" style="25" customWidth="1"/>
    <col min="9700" max="9705" width="10.33203125" style="25" customWidth="1"/>
    <col min="9706" max="9709" width="0" style="25" hidden="1" customWidth="1"/>
    <col min="9710" max="9710" width="12.77734375" style="25" customWidth="1"/>
    <col min="9711" max="9954" width="8.88671875" style="25"/>
    <col min="9955" max="9955" width="12.77734375" style="25" customWidth="1"/>
    <col min="9956" max="9961" width="10.33203125" style="25" customWidth="1"/>
    <col min="9962" max="9965" width="0" style="25" hidden="1" customWidth="1"/>
    <col min="9966" max="9966" width="12.77734375" style="25" customWidth="1"/>
    <col min="9967" max="10210" width="8.88671875" style="25"/>
    <col min="10211" max="10211" width="12.77734375" style="25" customWidth="1"/>
    <col min="10212" max="10217" width="10.33203125" style="25" customWidth="1"/>
    <col min="10218" max="10221" width="0" style="25" hidden="1" customWidth="1"/>
    <col min="10222" max="10222" width="12.77734375" style="25" customWidth="1"/>
    <col min="10223" max="10466" width="8.88671875" style="25"/>
    <col min="10467" max="10467" width="12.77734375" style="25" customWidth="1"/>
    <col min="10468" max="10473" width="10.33203125" style="25" customWidth="1"/>
    <col min="10474" max="10477" width="0" style="25" hidden="1" customWidth="1"/>
    <col min="10478" max="10478" width="12.77734375" style="25" customWidth="1"/>
    <col min="10479" max="10722" width="8.88671875" style="25"/>
    <col min="10723" max="10723" width="12.77734375" style="25" customWidth="1"/>
    <col min="10724" max="10729" width="10.33203125" style="25" customWidth="1"/>
    <col min="10730" max="10733" width="0" style="25" hidden="1" customWidth="1"/>
    <col min="10734" max="10734" width="12.77734375" style="25" customWidth="1"/>
    <col min="10735" max="10978" width="8.88671875" style="25"/>
    <col min="10979" max="10979" width="12.77734375" style="25" customWidth="1"/>
    <col min="10980" max="10985" width="10.33203125" style="25" customWidth="1"/>
    <col min="10986" max="10989" width="0" style="25" hidden="1" customWidth="1"/>
    <col min="10990" max="10990" width="12.77734375" style="25" customWidth="1"/>
    <col min="10991" max="11234" width="8.88671875" style="25"/>
    <col min="11235" max="11235" width="12.77734375" style="25" customWidth="1"/>
    <col min="11236" max="11241" width="10.33203125" style="25" customWidth="1"/>
    <col min="11242" max="11245" width="0" style="25" hidden="1" customWidth="1"/>
    <col min="11246" max="11246" width="12.77734375" style="25" customWidth="1"/>
    <col min="11247" max="11490" width="8.88671875" style="25"/>
    <col min="11491" max="11491" width="12.77734375" style="25" customWidth="1"/>
    <col min="11492" max="11497" width="10.33203125" style="25" customWidth="1"/>
    <col min="11498" max="11501" width="0" style="25" hidden="1" customWidth="1"/>
    <col min="11502" max="11502" width="12.77734375" style="25" customWidth="1"/>
    <col min="11503" max="11746" width="8.88671875" style="25"/>
    <col min="11747" max="11747" width="12.77734375" style="25" customWidth="1"/>
    <col min="11748" max="11753" width="10.33203125" style="25" customWidth="1"/>
    <col min="11754" max="11757" width="0" style="25" hidden="1" customWidth="1"/>
    <col min="11758" max="11758" width="12.77734375" style="25" customWidth="1"/>
    <col min="11759" max="12002" width="8.88671875" style="25"/>
    <col min="12003" max="12003" width="12.77734375" style="25" customWidth="1"/>
    <col min="12004" max="12009" width="10.33203125" style="25" customWidth="1"/>
    <col min="12010" max="12013" width="0" style="25" hidden="1" customWidth="1"/>
    <col min="12014" max="12014" width="12.77734375" style="25" customWidth="1"/>
    <col min="12015" max="12258" width="8.88671875" style="25"/>
    <col min="12259" max="12259" width="12.77734375" style="25" customWidth="1"/>
    <col min="12260" max="12265" width="10.33203125" style="25" customWidth="1"/>
    <col min="12266" max="12269" width="0" style="25" hidden="1" customWidth="1"/>
    <col min="12270" max="12270" width="12.77734375" style="25" customWidth="1"/>
    <col min="12271" max="12514" width="8.88671875" style="25"/>
    <col min="12515" max="12515" width="12.77734375" style="25" customWidth="1"/>
    <col min="12516" max="12521" width="10.33203125" style="25" customWidth="1"/>
    <col min="12522" max="12525" width="0" style="25" hidden="1" customWidth="1"/>
    <col min="12526" max="12526" width="12.77734375" style="25" customWidth="1"/>
    <col min="12527" max="12770" width="8.88671875" style="25"/>
    <col min="12771" max="12771" width="12.77734375" style="25" customWidth="1"/>
    <col min="12772" max="12777" width="10.33203125" style="25" customWidth="1"/>
    <col min="12778" max="12781" width="0" style="25" hidden="1" customWidth="1"/>
    <col min="12782" max="12782" width="12.77734375" style="25" customWidth="1"/>
    <col min="12783" max="13026" width="8.88671875" style="25"/>
    <col min="13027" max="13027" width="12.77734375" style="25" customWidth="1"/>
    <col min="13028" max="13033" width="10.33203125" style="25" customWidth="1"/>
    <col min="13034" max="13037" width="0" style="25" hidden="1" customWidth="1"/>
    <col min="13038" max="13038" width="12.77734375" style="25" customWidth="1"/>
    <col min="13039" max="13282" width="8.88671875" style="25"/>
    <col min="13283" max="13283" width="12.77734375" style="25" customWidth="1"/>
    <col min="13284" max="13289" width="10.33203125" style="25" customWidth="1"/>
    <col min="13290" max="13293" width="0" style="25" hidden="1" customWidth="1"/>
    <col min="13294" max="13294" width="12.77734375" style="25" customWidth="1"/>
    <col min="13295" max="13538" width="8.88671875" style="25"/>
    <col min="13539" max="13539" width="12.77734375" style="25" customWidth="1"/>
    <col min="13540" max="13545" width="10.33203125" style="25" customWidth="1"/>
    <col min="13546" max="13549" width="0" style="25" hidden="1" customWidth="1"/>
    <col min="13550" max="13550" width="12.77734375" style="25" customWidth="1"/>
    <col min="13551" max="13794" width="8.88671875" style="25"/>
    <col min="13795" max="13795" width="12.77734375" style="25" customWidth="1"/>
    <col min="13796" max="13801" width="10.33203125" style="25" customWidth="1"/>
    <col min="13802" max="13805" width="0" style="25" hidden="1" customWidth="1"/>
    <col min="13806" max="13806" width="12.77734375" style="25" customWidth="1"/>
    <col min="13807" max="14050" width="8.88671875" style="25"/>
    <col min="14051" max="14051" width="12.77734375" style="25" customWidth="1"/>
    <col min="14052" max="14057" width="10.33203125" style="25" customWidth="1"/>
    <col min="14058" max="14061" width="0" style="25" hidden="1" customWidth="1"/>
    <col min="14062" max="14062" width="12.77734375" style="25" customWidth="1"/>
    <col min="14063" max="14306" width="8.88671875" style="25"/>
    <col min="14307" max="14307" width="12.77734375" style="25" customWidth="1"/>
    <col min="14308" max="14313" width="10.33203125" style="25" customWidth="1"/>
    <col min="14314" max="14317" width="0" style="25" hidden="1" customWidth="1"/>
    <col min="14318" max="14318" width="12.77734375" style="25" customWidth="1"/>
    <col min="14319" max="14562" width="8.88671875" style="25"/>
    <col min="14563" max="14563" width="12.77734375" style="25" customWidth="1"/>
    <col min="14564" max="14569" width="10.33203125" style="25" customWidth="1"/>
    <col min="14570" max="14573" width="0" style="25" hidden="1" customWidth="1"/>
    <col min="14574" max="14574" width="12.77734375" style="25" customWidth="1"/>
    <col min="14575" max="14818" width="8.88671875" style="25"/>
    <col min="14819" max="14819" width="12.77734375" style="25" customWidth="1"/>
    <col min="14820" max="14825" width="10.33203125" style="25" customWidth="1"/>
    <col min="14826" max="14829" width="0" style="25" hidden="1" customWidth="1"/>
    <col min="14830" max="14830" width="12.77734375" style="25" customWidth="1"/>
    <col min="14831" max="15074" width="8.88671875" style="25"/>
    <col min="15075" max="15075" width="12.77734375" style="25" customWidth="1"/>
    <col min="15076" max="15081" width="10.33203125" style="25" customWidth="1"/>
    <col min="15082" max="15085" width="0" style="25" hidden="1" customWidth="1"/>
    <col min="15086" max="15086" width="12.77734375" style="25" customWidth="1"/>
    <col min="15087" max="15330" width="8.88671875" style="25"/>
    <col min="15331" max="15331" width="12.77734375" style="25" customWidth="1"/>
    <col min="15332" max="15337" width="10.33203125" style="25" customWidth="1"/>
    <col min="15338" max="15341" width="0" style="25" hidden="1" customWidth="1"/>
    <col min="15342" max="15342" width="12.77734375" style="25" customWidth="1"/>
    <col min="15343" max="15586" width="8.88671875" style="25"/>
    <col min="15587" max="15587" width="12.77734375" style="25" customWidth="1"/>
    <col min="15588" max="15593" width="10.33203125" style="25" customWidth="1"/>
    <col min="15594" max="15597" width="0" style="25" hidden="1" customWidth="1"/>
    <col min="15598" max="15598" width="12.77734375" style="25" customWidth="1"/>
    <col min="15599" max="15842" width="8.88671875" style="25"/>
    <col min="15843" max="15843" width="12.77734375" style="25" customWidth="1"/>
    <col min="15844" max="15849" width="10.33203125" style="25" customWidth="1"/>
    <col min="15850" max="15853" width="0" style="25" hidden="1" customWidth="1"/>
    <col min="15854" max="15854" width="12.77734375" style="25" customWidth="1"/>
    <col min="15855" max="16098" width="8.88671875" style="25"/>
    <col min="16099" max="16099" width="12.77734375" style="25" customWidth="1"/>
    <col min="16100" max="16105" width="10.33203125" style="25" customWidth="1"/>
    <col min="16106" max="16109" width="0" style="25" hidden="1" customWidth="1"/>
    <col min="16110" max="16110" width="12.77734375" style="25" customWidth="1"/>
    <col min="16111" max="16384" width="8.88671875" style="25"/>
  </cols>
  <sheetData>
    <row r="1" spans="1:13" ht="22.5" customHeight="1">
      <c r="B1" s="459" t="s">
        <v>19</v>
      </c>
      <c r="C1" s="459"/>
      <c r="D1" s="459"/>
      <c r="E1" s="459"/>
      <c r="F1" s="459"/>
      <c r="G1" s="459"/>
      <c r="H1" s="459"/>
      <c r="I1" s="459"/>
    </row>
    <row r="2" spans="1:13" ht="15" customHeight="1">
      <c r="B2" s="26"/>
      <c r="C2" s="26"/>
      <c r="D2" s="26"/>
      <c r="E2" s="26"/>
      <c r="F2" s="26"/>
      <c r="G2" s="26"/>
      <c r="H2" s="26"/>
      <c r="I2" s="26"/>
      <c r="J2" s="132" t="str">
        <f>'04-27'!G3</f>
        <v>(2026. 04. 27. 기준)</v>
      </c>
    </row>
    <row r="3" spans="1:13" ht="18" customHeight="1" thickBot="1">
      <c r="A3" s="59" t="s">
        <v>24</v>
      </c>
      <c r="B3" s="60"/>
      <c r="C3" s="60"/>
      <c r="D3" s="29"/>
      <c r="E3" s="128"/>
      <c r="F3" s="128"/>
      <c r="G3" s="29"/>
      <c r="H3" s="29"/>
      <c r="I3" s="29"/>
      <c r="J3" s="29"/>
    </row>
    <row r="4" spans="1:13" ht="18" customHeight="1">
      <c r="A4" s="29"/>
      <c r="B4" s="321" t="s">
        <v>126</v>
      </c>
      <c r="C4" s="335" t="s">
        <v>126</v>
      </c>
      <c r="D4" s="335" t="s">
        <v>126</v>
      </c>
      <c r="E4" s="335" t="s">
        <v>126</v>
      </c>
      <c r="F4" s="335" t="s">
        <v>126</v>
      </c>
      <c r="G4" s="335" t="s">
        <v>126</v>
      </c>
      <c r="H4" s="328" t="s">
        <v>126</v>
      </c>
      <c r="I4" s="66"/>
      <c r="J4" s="34"/>
    </row>
    <row r="5" spans="1:13" ht="18" customHeight="1">
      <c r="A5" s="129" t="s">
        <v>20</v>
      </c>
      <c r="B5" s="322" t="s">
        <v>127</v>
      </c>
      <c r="C5" s="224" t="s">
        <v>129</v>
      </c>
      <c r="D5" s="224" t="s">
        <v>132</v>
      </c>
      <c r="E5" s="224" t="s">
        <v>133</v>
      </c>
      <c r="F5" s="224" t="s">
        <v>147</v>
      </c>
      <c r="G5" s="224" t="s">
        <v>163</v>
      </c>
      <c r="H5" s="314" t="s">
        <v>167</v>
      </c>
      <c r="I5" s="36"/>
      <c r="J5" s="457" t="s">
        <v>22</v>
      </c>
      <c r="M5" s="124"/>
    </row>
    <row r="6" spans="1:13" ht="18" customHeight="1">
      <c r="A6" s="145" t="s">
        <v>75</v>
      </c>
      <c r="B6" s="323" t="s">
        <v>128</v>
      </c>
      <c r="C6" s="295" t="s">
        <v>130</v>
      </c>
      <c r="D6" s="295" t="s">
        <v>131</v>
      </c>
      <c r="E6" s="295" t="s">
        <v>134</v>
      </c>
      <c r="F6" s="295" t="s">
        <v>148</v>
      </c>
      <c r="G6" s="295" t="s">
        <v>162</v>
      </c>
      <c r="H6" s="330" t="s">
        <v>168</v>
      </c>
      <c r="I6" s="296"/>
      <c r="J6" s="458"/>
    </row>
    <row r="7" spans="1:13" ht="18" customHeight="1">
      <c r="A7" s="129" t="s">
        <v>65</v>
      </c>
      <c r="B7" s="324">
        <f>2450-800-1171</f>
        <v>479</v>
      </c>
      <c r="C7" s="226">
        <f>962</f>
        <v>962</v>
      </c>
      <c r="D7" s="226">
        <f>1591</f>
        <v>1591</v>
      </c>
      <c r="E7" s="226">
        <f>2002</f>
        <v>2002</v>
      </c>
      <c r="F7" s="226">
        <f>430</f>
        <v>430</v>
      </c>
      <c r="G7" s="226">
        <f>700</f>
        <v>700</v>
      </c>
      <c r="H7" s="331">
        <f>2450</f>
        <v>2450</v>
      </c>
      <c r="I7" s="279"/>
      <c r="J7" s="298">
        <f>SUM(B7:I7)</f>
        <v>8614</v>
      </c>
    </row>
    <row r="8" spans="1:13" ht="18" customHeight="1">
      <c r="A8" s="130" t="s">
        <v>66</v>
      </c>
      <c r="B8" s="324"/>
      <c r="C8" s="226">
        <f>602-102-500</f>
        <v>0</v>
      </c>
      <c r="D8" s="226">
        <f>566-566</f>
        <v>0</v>
      </c>
      <c r="E8" s="226"/>
      <c r="F8" s="226">
        <f>260</f>
        <v>260</v>
      </c>
      <c r="G8" s="226">
        <f>441</f>
        <v>441</v>
      </c>
      <c r="H8" s="331"/>
      <c r="I8" s="279"/>
      <c r="J8" s="298">
        <f>SUM(B8:I8)</f>
        <v>701</v>
      </c>
    </row>
    <row r="9" spans="1:13" ht="18" customHeight="1">
      <c r="A9" s="130" t="s">
        <v>76</v>
      </c>
      <c r="B9" s="324"/>
      <c r="C9" s="226">
        <f>886-532-354</f>
        <v>0</v>
      </c>
      <c r="D9" s="226">
        <f>293-293</f>
        <v>0</v>
      </c>
      <c r="E9" s="226">
        <f>182-182</f>
        <v>0</v>
      </c>
      <c r="F9" s="226">
        <f>398</f>
        <v>398</v>
      </c>
      <c r="G9" s="226">
        <f>598</f>
        <v>598</v>
      </c>
      <c r="H9" s="331"/>
      <c r="I9" s="279"/>
      <c r="J9" s="298">
        <f>SUM(B9:I9)</f>
        <v>996</v>
      </c>
    </row>
    <row r="10" spans="1:13" ht="18" customHeight="1">
      <c r="A10" s="129" t="s">
        <v>67</v>
      </c>
      <c r="B10" s="324"/>
      <c r="C10" s="226"/>
      <c r="D10" s="226"/>
      <c r="E10" s="226">
        <f>127-127</f>
        <v>0</v>
      </c>
      <c r="F10" s="226">
        <f>434</f>
        <v>434</v>
      </c>
      <c r="G10" s="226">
        <f>297</f>
        <v>297</v>
      </c>
      <c r="H10" s="331"/>
      <c r="I10" s="279"/>
      <c r="J10" s="298">
        <f>SUM(B10:I10)</f>
        <v>731</v>
      </c>
    </row>
    <row r="11" spans="1:13" ht="18" customHeight="1" thickBot="1">
      <c r="A11" s="129" t="s">
        <v>68</v>
      </c>
      <c r="B11" s="325"/>
      <c r="C11" s="225"/>
      <c r="D11" s="225"/>
      <c r="E11" s="225">
        <f>139-139</f>
        <v>0</v>
      </c>
      <c r="F11" s="225">
        <f>928</f>
        <v>928</v>
      </c>
      <c r="G11" s="225">
        <f>414</f>
        <v>414</v>
      </c>
      <c r="H11" s="332"/>
      <c r="I11" s="280"/>
      <c r="J11" s="298">
        <f>SUM(B11:I11)</f>
        <v>1342</v>
      </c>
    </row>
    <row r="12" spans="1:13" s="62" customFormat="1" ht="18" customHeight="1" thickTop="1">
      <c r="A12" s="131" t="s">
        <v>22</v>
      </c>
      <c r="B12" s="326">
        <f t="shared" ref="B12:D12" si="0">SUM(B7:B11)</f>
        <v>479</v>
      </c>
      <c r="C12" s="297">
        <f t="shared" si="0"/>
        <v>962</v>
      </c>
      <c r="D12" s="297">
        <f t="shared" si="0"/>
        <v>1591</v>
      </c>
      <c r="E12" s="297">
        <f t="shared" ref="E12" si="1">SUM(E7:E11)</f>
        <v>2002</v>
      </c>
      <c r="F12" s="297">
        <f>SUM(F7:F11)</f>
        <v>2450</v>
      </c>
      <c r="G12" s="297">
        <f>SUM(G7:G11)</f>
        <v>2450</v>
      </c>
      <c r="H12" s="333">
        <f>SUM(H7:H11)</f>
        <v>2450</v>
      </c>
      <c r="I12" s="240">
        <f t="shared" ref="I12" si="2">SUM(I7:I11)</f>
        <v>0</v>
      </c>
      <c r="J12" s="299">
        <f>SUM(J7:J11)</f>
        <v>12384</v>
      </c>
      <c r="K12" s="119"/>
      <c r="L12" s="119"/>
      <c r="M12" s="119"/>
    </row>
    <row r="13" spans="1:13" ht="18" customHeight="1">
      <c r="A13" s="63" t="s">
        <v>25</v>
      </c>
      <c r="B13" s="327">
        <v>19.899999999999999</v>
      </c>
      <c r="C13" s="329">
        <v>19.2</v>
      </c>
      <c r="D13" s="329">
        <v>19.2</v>
      </c>
      <c r="E13" s="329">
        <v>19.899999999999999</v>
      </c>
      <c r="F13" s="329">
        <v>20.5</v>
      </c>
      <c r="G13" s="329">
        <v>20.5</v>
      </c>
      <c r="H13" s="334">
        <v>20.5</v>
      </c>
      <c r="I13" s="268"/>
      <c r="J13" s="34"/>
    </row>
    <row r="14" spans="1:13" ht="18" customHeight="1" thickBot="1">
      <c r="A14" s="63"/>
      <c r="B14" s="463" t="s">
        <v>101</v>
      </c>
      <c r="C14" s="464"/>
      <c r="D14" s="464"/>
      <c r="E14" s="464"/>
      <c r="F14" s="464"/>
      <c r="G14" s="464"/>
      <c r="H14" s="465"/>
      <c r="I14" s="128"/>
      <c r="J14" s="34"/>
    </row>
    <row r="15" spans="1:13" ht="18" customHeight="1">
      <c r="A15" s="55"/>
      <c r="B15" s="82"/>
      <c r="C15" s="82"/>
      <c r="D15" s="82"/>
      <c r="E15" s="95"/>
      <c r="F15" s="96"/>
      <c r="G15" s="95"/>
      <c r="H15" s="95"/>
      <c r="I15" s="95"/>
      <c r="J15" s="80"/>
    </row>
    <row r="16" spans="1:13" ht="18" customHeight="1" thickBot="1">
      <c r="A16" s="97" t="s">
        <v>28</v>
      </c>
      <c r="B16" s="98"/>
      <c r="C16" s="98"/>
      <c r="D16" s="251"/>
      <c r="E16" s="29"/>
      <c r="F16" s="29"/>
      <c r="G16" s="29"/>
      <c r="H16" s="29"/>
      <c r="I16" s="29"/>
      <c r="J16" s="29"/>
    </row>
    <row r="17" spans="1:11" ht="18" customHeight="1">
      <c r="A17" s="29"/>
      <c r="B17" s="252" t="s">
        <v>4</v>
      </c>
      <c r="C17" s="253" t="s">
        <v>4</v>
      </c>
      <c r="D17" s="255" t="s">
        <v>4</v>
      </c>
      <c r="E17" s="255" t="s">
        <v>4</v>
      </c>
      <c r="F17" s="253" t="s">
        <v>4</v>
      </c>
      <c r="G17" s="313" t="s">
        <v>4</v>
      </c>
      <c r="H17" s="265"/>
      <c r="I17" s="265"/>
      <c r="J17" s="34"/>
    </row>
    <row r="18" spans="1:11" ht="18" customHeight="1">
      <c r="A18" s="129" t="s">
        <v>20</v>
      </c>
      <c r="B18" s="322" t="s">
        <v>110</v>
      </c>
      <c r="C18" s="224" t="s">
        <v>116</v>
      </c>
      <c r="D18" s="224" t="s">
        <v>116</v>
      </c>
      <c r="E18" s="224" t="s">
        <v>124</v>
      </c>
      <c r="F18" s="36" t="s">
        <v>147</v>
      </c>
      <c r="G18" s="314" t="s">
        <v>147</v>
      </c>
      <c r="H18" s="126"/>
      <c r="I18" s="126"/>
      <c r="J18" s="457" t="s">
        <v>22</v>
      </c>
    </row>
    <row r="19" spans="1:11" ht="18" customHeight="1">
      <c r="A19" s="145" t="s">
        <v>75</v>
      </c>
      <c r="B19" s="336" t="s">
        <v>109</v>
      </c>
      <c r="C19" s="256" t="s">
        <v>117</v>
      </c>
      <c r="D19" s="256" t="s">
        <v>118</v>
      </c>
      <c r="E19" s="256" t="s">
        <v>125</v>
      </c>
      <c r="F19" s="133" t="s">
        <v>149</v>
      </c>
      <c r="G19" s="315" t="s">
        <v>150</v>
      </c>
      <c r="H19" s="244"/>
      <c r="I19" s="244"/>
      <c r="J19" s="458"/>
    </row>
    <row r="20" spans="1:11" ht="18" customHeight="1">
      <c r="A20" s="153" t="s">
        <v>65</v>
      </c>
      <c r="B20" s="337"/>
      <c r="C20" s="259">
        <f>350-350</f>
        <v>0</v>
      </c>
      <c r="D20" s="259">
        <f>349-349</f>
        <v>0</v>
      </c>
      <c r="E20" s="259">
        <f>1654-401</f>
        <v>1253</v>
      </c>
      <c r="F20" s="99">
        <f>1148</f>
        <v>1148</v>
      </c>
      <c r="G20" s="316">
        <f>349</f>
        <v>349</v>
      </c>
      <c r="H20" s="285"/>
      <c r="I20" s="285"/>
      <c r="J20" s="273">
        <f t="shared" ref="J20:J24" si="3">SUM(B20:I20)</f>
        <v>2750</v>
      </c>
    </row>
    <row r="21" spans="1:11" ht="18" customHeight="1">
      <c r="A21" s="154" t="s">
        <v>66</v>
      </c>
      <c r="B21" s="337">
        <f>491-378-113</f>
        <v>0</v>
      </c>
      <c r="C21" s="259">
        <f>306-306</f>
        <v>0</v>
      </c>
      <c r="D21" s="259">
        <f>300-300</f>
        <v>0</v>
      </c>
      <c r="E21" s="259">
        <f>796-394</f>
        <v>402</v>
      </c>
      <c r="F21" s="99">
        <f>702</f>
        <v>702</v>
      </c>
      <c r="G21" s="316">
        <f>1853</f>
        <v>1853</v>
      </c>
      <c r="H21" s="285"/>
      <c r="I21" s="285"/>
      <c r="J21" s="274">
        <f t="shared" si="3"/>
        <v>2957</v>
      </c>
      <c r="K21" s="123"/>
    </row>
    <row r="22" spans="1:11" ht="18" customHeight="1">
      <c r="A22" s="129" t="s">
        <v>76</v>
      </c>
      <c r="B22" s="338">
        <f>2007-401-300-1306</f>
        <v>0</v>
      </c>
      <c r="C22" s="257">
        <f>448</f>
        <v>448</v>
      </c>
      <c r="D22" s="257">
        <f>251</f>
        <v>251</v>
      </c>
      <c r="E22" s="257"/>
      <c r="F22" s="147">
        <f>600</f>
        <v>600</v>
      </c>
      <c r="G22" s="317">
        <f>248</f>
        <v>248</v>
      </c>
      <c r="H22" s="286"/>
      <c r="I22" s="286"/>
      <c r="J22" s="274">
        <f>SUM(B22:I22)</f>
        <v>1547</v>
      </c>
    </row>
    <row r="23" spans="1:11" ht="18" customHeight="1">
      <c r="A23" s="129" t="s">
        <v>67</v>
      </c>
      <c r="B23" s="338">
        <f>1401-1401</f>
        <v>0</v>
      </c>
      <c r="C23" s="257">
        <f>894</f>
        <v>894</v>
      </c>
      <c r="D23" s="257">
        <f>704</f>
        <v>704</v>
      </c>
      <c r="E23" s="257"/>
      <c r="F23" s="147"/>
      <c r="G23" s="317"/>
      <c r="H23" s="286"/>
      <c r="I23" s="286"/>
      <c r="J23" s="274">
        <f>SUM(B23:I23)</f>
        <v>1598</v>
      </c>
    </row>
    <row r="24" spans="1:11" ht="18" customHeight="1" thickBot="1">
      <c r="A24" s="233" t="s">
        <v>68</v>
      </c>
      <c r="B24" s="339">
        <f>1001-127-500</f>
        <v>374</v>
      </c>
      <c r="C24" s="277">
        <f>452</f>
        <v>452</v>
      </c>
      <c r="D24" s="277">
        <f>846</f>
        <v>846</v>
      </c>
      <c r="E24" s="277"/>
      <c r="F24" s="276"/>
      <c r="G24" s="318"/>
      <c r="H24" s="342"/>
      <c r="I24" s="287"/>
      <c r="J24" s="278">
        <f t="shared" si="3"/>
        <v>1672</v>
      </c>
    </row>
    <row r="25" spans="1:11" ht="18" customHeight="1" thickTop="1">
      <c r="A25" s="156" t="s">
        <v>22</v>
      </c>
      <c r="B25" s="340">
        <f t="shared" ref="B25:D25" si="4">SUM(B20:B24)</f>
        <v>374</v>
      </c>
      <c r="C25" s="258">
        <f t="shared" si="4"/>
        <v>1794</v>
      </c>
      <c r="D25" s="258">
        <f t="shared" si="4"/>
        <v>1801</v>
      </c>
      <c r="E25" s="258">
        <f t="shared" ref="E25:G25" si="5">SUM(E20:E24)</f>
        <v>1655</v>
      </c>
      <c r="F25" s="254">
        <f t="shared" si="5"/>
        <v>2450</v>
      </c>
      <c r="G25" s="319">
        <f t="shared" si="5"/>
        <v>2450</v>
      </c>
      <c r="H25" s="288">
        <f t="shared" ref="H25:J25" si="6">SUM(H20:H24)</f>
        <v>0</v>
      </c>
      <c r="I25" s="288">
        <f t="shared" si="6"/>
        <v>0</v>
      </c>
      <c r="J25" s="275">
        <f t="shared" si="6"/>
        <v>10524</v>
      </c>
      <c r="K25" s="119"/>
    </row>
    <row r="26" spans="1:11" ht="18" customHeight="1">
      <c r="A26" s="63" t="s">
        <v>25</v>
      </c>
      <c r="B26" s="341">
        <v>14.9</v>
      </c>
      <c r="C26" s="293">
        <v>15.5</v>
      </c>
      <c r="D26" s="293">
        <v>15.5</v>
      </c>
      <c r="E26" s="293">
        <v>15.5</v>
      </c>
      <c r="F26" s="357">
        <v>15.5</v>
      </c>
      <c r="G26" s="320">
        <v>15.5</v>
      </c>
      <c r="H26" s="268"/>
      <c r="I26" s="268"/>
      <c r="J26" s="34"/>
    </row>
    <row r="27" spans="1:11" ht="18" customHeight="1" thickBot="1">
      <c r="A27" s="55"/>
      <c r="B27" s="460" t="s">
        <v>101</v>
      </c>
      <c r="C27" s="461"/>
      <c r="D27" s="461"/>
      <c r="E27" s="461"/>
      <c r="F27" s="461"/>
      <c r="G27" s="462"/>
      <c r="H27" s="284"/>
      <c r="I27" s="284"/>
      <c r="J27" s="34"/>
    </row>
    <row r="28" spans="1:11" ht="18" customHeight="1">
      <c r="A28" s="55"/>
      <c r="B28" s="56"/>
      <c r="C28" s="56"/>
      <c r="D28" s="56"/>
      <c r="E28" s="46"/>
      <c r="F28" s="29"/>
      <c r="G28" s="29"/>
      <c r="H28" s="46"/>
      <c r="I28" s="46"/>
      <c r="J28" s="34"/>
    </row>
    <row r="29" spans="1:11" ht="18" hidden="1" customHeight="1">
      <c r="A29" s="27" t="s">
        <v>80</v>
      </c>
      <c r="B29" s="28"/>
      <c r="C29" s="28"/>
      <c r="D29" s="28"/>
      <c r="E29" s="29"/>
      <c r="F29" s="33"/>
      <c r="G29" s="33"/>
      <c r="H29" s="29"/>
      <c r="I29" s="29"/>
      <c r="J29" s="30"/>
    </row>
    <row r="30" spans="1:11" ht="18" hidden="1" customHeight="1">
      <c r="A30" s="31"/>
      <c r="B30" s="163" t="s">
        <v>83</v>
      </c>
      <c r="C30" s="32"/>
      <c r="D30" s="32"/>
      <c r="E30" s="33"/>
      <c r="F30" s="36"/>
      <c r="G30" s="36"/>
      <c r="H30" s="33"/>
      <c r="I30" s="33"/>
      <c r="J30" s="34"/>
    </row>
    <row r="31" spans="1:11" ht="18" hidden="1" customHeight="1">
      <c r="A31" s="139" t="s">
        <v>20</v>
      </c>
      <c r="B31" s="36" t="s">
        <v>79</v>
      </c>
      <c r="C31" s="35"/>
      <c r="D31" s="142"/>
      <c r="E31" s="36"/>
      <c r="F31" s="146"/>
      <c r="G31" s="135"/>
      <c r="H31" s="36"/>
      <c r="I31" s="36"/>
      <c r="J31" s="455" t="s">
        <v>22</v>
      </c>
    </row>
    <row r="32" spans="1:11" ht="18" hidden="1" customHeight="1">
      <c r="A32" s="145" t="s">
        <v>75</v>
      </c>
      <c r="B32" s="159"/>
      <c r="C32" s="146"/>
      <c r="D32" s="157"/>
      <c r="E32" s="135"/>
      <c r="F32" s="38"/>
      <c r="G32" s="38"/>
      <c r="H32" s="146"/>
      <c r="I32" s="134"/>
      <c r="J32" s="456"/>
    </row>
    <row r="33" spans="1:13" ht="18" hidden="1" customHeight="1" thickBot="1">
      <c r="A33" s="140" t="s">
        <v>78</v>
      </c>
      <c r="B33" s="223">
        <f>2965-1000-500-1465</f>
        <v>0</v>
      </c>
      <c r="C33" s="160"/>
      <c r="D33" s="143"/>
      <c r="E33" s="38"/>
      <c r="F33" s="41"/>
      <c r="G33" s="41"/>
      <c r="H33" s="38"/>
      <c r="I33" s="38"/>
      <c r="J33" s="39">
        <f>SUM(B33:I33)</f>
        <v>0</v>
      </c>
    </row>
    <row r="34" spans="1:13" ht="18" hidden="1" customHeight="1" thickTop="1">
      <c r="A34" s="141" t="s">
        <v>22</v>
      </c>
      <c r="B34" s="40">
        <f>SUM(B33:B33)</f>
        <v>0</v>
      </c>
      <c r="C34" s="40"/>
      <c r="D34" s="136"/>
      <c r="E34" s="41"/>
      <c r="F34" s="46"/>
      <c r="G34" s="46"/>
      <c r="H34" s="41"/>
      <c r="I34" s="41"/>
      <c r="J34" s="42">
        <f>SUM(J33:J33)</f>
        <v>0</v>
      </c>
      <c r="M34" s="118">
        <f>1300-860</f>
        <v>440</v>
      </c>
    </row>
    <row r="35" spans="1:13" ht="18" hidden="1" customHeight="1">
      <c r="A35" s="43"/>
      <c r="B35" s="144">
        <v>20.8</v>
      </c>
      <c r="C35" s="158"/>
      <c r="D35" s="45"/>
      <c r="E35" s="46"/>
      <c r="F35" s="46"/>
      <c r="G35" s="46"/>
      <c r="H35" s="46"/>
      <c r="I35" s="46"/>
      <c r="J35" s="34"/>
    </row>
    <row r="36" spans="1:13" ht="18" hidden="1" customHeight="1">
      <c r="A36" s="43"/>
      <c r="B36" s="165" t="s">
        <v>84</v>
      </c>
      <c r="C36" s="144"/>
      <c r="D36" s="45"/>
      <c r="E36" s="46"/>
      <c r="H36" s="46"/>
      <c r="I36" s="46"/>
      <c r="J36" s="34"/>
    </row>
    <row r="37" spans="1:13" ht="18" hidden="1" customHeight="1">
      <c r="F37" s="29"/>
      <c r="G37" s="29"/>
    </row>
    <row r="38" spans="1:13" ht="18" hidden="1" customHeight="1">
      <c r="A38" s="230" t="s">
        <v>97</v>
      </c>
      <c r="B38" s="231"/>
      <c r="C38" s="231"/>
      <c r="D38" s="232"/>
      <c r="E38" s="29"/>
      <c r="F38" s="47"/>
      <c r="G38" s="33"/>
      <c r="H38" s="29"/>
      <c r="I38" s="29"/>
      <c r="J38" s="29"/>
    </row>
    <row r="39" spans="1:13" ht="18" hidden="1" customHeight="1">
      <c r="A39" s="29"/>
      <c r="B39" s="222" t="s">
        <v>93</v>
      </c>
      <c r="C39" s="47"/>
      <c r="D39" s="47"/>
      <c r="E39" s="47"/>
      <c r="F39" s="49"/>
      <c r="G39" s="35"/>
      <c r="H39" s="33"/>
      <c r="I39" s="33"/>
      <c r="J39" s="34"/>
    </row>
    <row r="40" spans="1:13" ht="18" hidden="1" customHeight="1">
      <c r="A40" s="48" t="s">
        <v>20</v>
      </c>
      <c r="B40" s="35" t="s">
        <v>94</v>
      </c>
      <c r="C40" s="49"/>
      <c r="D40" s="49"/>
      <c r="E40" s="49"/>
      <c r="F40" s="38"/>
      <c r="G40" s="38"/>
      <c r="H40" s="35"/>
      <c r="I40" s="35"/>
      <c r="J40" s="37" t="s">
        <v>22</v>
      </c>
    </row>
    <row r="41" spans="1:13" ht="18" hidden="1" customHeight="1" thickBot="1">
      <c r="A41" s="52" t="s">
        <v>38</v>
      </c>
      <c r="B41" s="223">
        <f>4500-500-100-35-1500-1000-400-565-400</f>
        <v>0</v>
      </c>
      <c r="C41" s="38"/>
      <c r="D41" s="38"/>
      <c r="E41" s="38"/>
      <c r="F41" s="40">
        <f t="shared" ref="F41:G41" si="7">SUM(F40)</f>
        <v>0</v>
      </c>
      <c r="G41" s="40">
        <f t="shared" si="7"/>
        <v>0</v>
      </c>
      <c r="H41" s="38"/>
      <c r="I41" s="38"/>
      <c r="J41" s="58">
        <f>SUM(B41:I41)</f>
        <v>0</v>
      </c>
    </row>
    <row r="42" spans="1:13" ht="18" hidden="1" customHeight="1" thickTop="1">
      <c r="A42" s="53" t="s">
        <v>22</v>
      </c>
      <c r="B42" s="40">
        <f t="shared" ref="B42:J42" si="8">SUM(B41)</f>
        <v>0</v>
      </c>
      <c r="C42" s="40">
        <f t="shared" si="8"/>
        <v>0</v>
      </c>
      <c r="D42" s="40">
        <f t="shared" si="8"/>
        <v>0</v>
      </c>
      <c r="E42" s="40">
        <f t="shared" si="8"/>
        <v>0</v>
      </c>
      <c r="F42" s="44"/>
      <c r="G42" s="44"/>
      <c r="H42" s="40">
        <f t="shared" si="8"/>
        <v>0</v>
      </c>
      <c r="I42" s="40">
        <f t="shared" si="8"/>
        <v>0</v>
      </c>
      <c r="J42" s="54">
        <f t="shared" si="8"/>
        <v>0</v>
      </c>
    </row>
    <row r="43" spans="1:13" ht="18" hidden="1" customHeight="1">
      <c r="A43" s="55"/>
      <c r="B43" s="56">
        <v>23.66</v>
      </c>
      <c r="C43" s="44"/>
      <c r="D43" s="44"/>
      <c r="E43" s="44"/>
      <c r="H43" s="44"/>
      <c r="I43" s="44"/>
      <c r="J43" s="34"/>
    </row>
    <row r="44" spans="1:13" ht="18" hidden="1" customHeight="1">
      <c r="B44" s="164" t="s">
        <v>95</v>
      </c>
    </row>
    <row r="45" spans="1:13" ht="18" hidden="1" customHeight="1">
      <c r="B45" s="165" t="s">
        <v>84</v>
      </c>
    </row>
    <row r="46" spans="1:13" ht="18" hidden="1" customHeight="1">
      <c r="B46" s="165"/>
      <c r="C46" s="165"/>
      <c r="F46" s="29"/>
      <c r="G46" s="29"/>
    </row>
    <row r="47" spans="1:13" ht="18" hidden="1" customHeight="1" thickBot="1">
      <c r="A47" s="228" t="s">
        <v>102</v>
      </c>
      <c r="B47" s="229"/>
      <c r="C47" s="229"/>
      <c r="D47" s="29"/>
      <c r="E47" s="29"/>
      <c r="F47" s="47"/>
      <c r="G47" s="33"/>
      <c r="H47" s="29"/>
      <c r="I47" s="29"/>
      <c r="J47" s="29"/>
    </row>
    <row r="48" spans="1:13" ht="18" hidden="1" customHeight="1">
      <c r="A48" s="29"/>
      <c r="B48" s="241" t="s">
        <v>83</v>
      </c>
      <c r="C48" s="47"/>
      <c r="D48" s="47"/>
      <c r="E48" s="47"/>
      <c r="F48" s="49"/>
      <c r="G48" s="35"/>
      <c r="H48" s="33"/>
      <c r="I48" s="33"/>
      <c r="J48" s="34"/>
    </row>
    <row r="49" spans="1:10" ht="18" hidden="1" customHeight="1">
      <c r="A49" s="129" t="s">
        <v>20</v>
      </c>
      <c r="B49" s="242" t="s">
        <v>106</v>
      </c>
      <c r="C49" s="234"/>
      <c r="D49" s="234"/>
      <c r="E49" s="234"/>
      <c r="F49" s="133"/>
      <c r="G49" s="245"/>
      <c r="H49" s="35"/>
      <c r="I49" s="35"/>
      <c r="J49" s="455" t="s">
        <v>22</v>
      </c>
    </row>
    <row r="50" spans="1:10" ht="18" hidden="1" customHeight="1">
      <c r="A50" s="145" t="s">
        <v>75</v>
      </c>
      <c r="B50" s="243" t="s">
        <v>107</v>
      </c>
      <c r="C50" s="244"/>
      <c r="D50" s="244"/>
      <c r="E50" s="244"/>
      <c r="F50" s="38"/>
      <c r="G50" s="38"/>
      <c r="H50" s="245"/>
      <c r="I50" s="245"/>
      <c r="J50" s="456"/>
    </row>
    <row r="51" spans="1:10" ht="18" hidden="1" customHeight="1" thickBot="1">
      <c r="A51" s="233" t="s">
        <v>104</v>
      </c>
      <c r="B51" s="264">
        <f>1620-300-650-300-370</f>
        <v>0</v>
      </c>
      <c r="C51" s="235"/>
      <c r="D51" s="235"/>
      <c r="E51" s="235"/>
      <c r="F51" s="40">
        <f t="shared" ref="F51:G51" si="9">SUM(F50)</f>
        <v>0</v>
      </c>
      <c r="G51" s="40">
        <f t="shared" si="9"/>
        <v>0</v>
      </c>
      <c r="H51" s="38"/>
      <c r="I51" s="38"/>
      <c r="J51" s="58">
        <f>SUM(B51:I51)</f>
        <v>0</v>
      </c>
    </row>
    <row r="52" spans="1:10" ht="18" hidden="1" customHeight="1" thickTop="1">
      <c r="A52" s="156" t="s">
        <v>22</v>
      </c>
      <c r="B52" s="236">
        <f t="shared" ref="B52:J52" si="10">SUM(B51)</f>
        <v>0</v>
      </c>
      <c r="C52" s="136">
        <f t="shared" si="10"/>
        <v>0</v>
      </c>
      <c r="D52" s="136">
        <f t="shared" si="10"/>
        <v>0</v>
      </c>
      <c r="E52" s="136">
        <f t="shared" si="10"/>
        <v>0</v>
      </c>
      <c r="F52" s="44"/>
      <c r="G52" s="44"/>
      <c r="H52" s="40">
        <f t="shared" si="10"/>
        <v>0</v>
      </c>
      <c r="I52" s="40">
        <f t="shared" si="10"/>
        <v>0</v>
      </c>
      <c r="J52" s="54">
        <f t="shared" si="10"/>
        <v>0</v>
      </c>
    </row>
    <row r="53" spans="1:10" ht="18" hidden="1" customHeight="1">
      <c r="A53" s="55"/>
      <c r="B53" s="246">
        <v>16.5</v>
      </c>
      <c r="C53" s="44"/>
      <c r="D53" s="44"/>
      <c r="E53" s="44"/>
      <c r="H53" s="44"/>
      <c r="I53" s="44"/>
      <c r="J53" s="34"/>
    </row>
    <row r="54" spans="1:10" ht="18" hidden="1" customHeight="1">
      <c r="B54" s="247" t="s">
        <v>103</v>
      </c>
    </row>
    <row r="55" spans="1:10" ht="18" hidden="1" customHeight="1" thickBot="1">
      <c r="B55" s="248" t="s">
        <v>101</v>
      </c>
    </row>
    <row r="56" spans="1:10" ht="18" hidden="1" customHeight="1">
      <c r="B56" s="165"/>
      <c r="C56" s="165"/>
      <c r="F56" s="29"/>
      <c r="G56" s="29"/>
    </row>
    <row r="57" spans="1:10" ht="18" customHeight="1" thickBot="1">
      <c r="A57" s="228" t="s">
        <v>102</v>
      </c>
      <c r="B57" s="229"/>
      <c r="C57" s="229"/>
      <c r="D57" s="29"/>
      <c r="E57" s="29"/>
      <c r="F57" s="29"/>
      <c r="G57" s="29"/>
      <c r="H57" s="29"/>
      <c r="I57" s="29"/>
      <c r="J57" s="29"/>
    </row>
    <row r="58" spans="1:10" ht="18" customHeight="1">
      <c r="A58" s="29"/>
      <c r="B58" s="241" t="s">
        <v>120</v>
      </c>
      <c r="C58" s="265"/>
      <c r="D58" s="265"/>
      <c r="E58" s="47"/>
      <c r="F58" s="47"/>
      <c r="G58" s="33"/>
      <c r="H58" s="33"/>
      <c r="I58" s="33"/>
      <c r="J58" s="34"/>
    </row>
    <row r="59" spans="1:10" ht="18" customHeight="1">
      <c r="A59" s="129" t="s">
        <v>20</v>
      </c>
      <c r="B59" s="343" t="s">
        <v>135</v>
      </c>
      <c r="C59" s="161"/>
      <c r="D59" s="126"/>
      <c r="E59" s="234"/>
      <c r="F59" s="49"/>
      <c r="G59" s="35"/>
      <c r="H59" s="35"/>
      <c r="I59" s="35"/>
      <c r="J59" s="455" t="s">
        <v>22</v>
      </c>
    </row>
    <row r="60" spans="1:10" ht="18" customHeight="1">
      <c r="A60" s="289" t="s">
        <v>75</v>
      </c>
      <c r="B60" s="344" t="s">
        <v>136</v>
      </c>
      <c r="C60" s="347"/>
      <c r="D60" s="290"/>
      <c r="E60" s="291"/>
      <c r="F60" s="159"/>
      <c r="G60" s="292"/>
      <c r="H60" s="292"/>
      <c r="I60" s="292"/>
      <c r="J60" s="456"/>
    </row>
    <row r="61" spans="1:10" ht="18" customHeight="1" thickBot="1">
      <c r="A61" s="155" t="s">
        <v>121</v>
      </c>
      <c r="B61" s="345">
        <f>1600-150</f>
        <v>1450</v>
      </c>
      <c r="C61" s="348"/>
      <c r="D61" s="266"/>
      <c r="E61" s="260"/>
      <c r="F61" s="261"/>
      <c r="G61" s="261"/>
      <c r="H61" s="261"/>
      <c r="I61" s="261"/>
      <c r="J61" s="58">
        <f>SUM(B61:I61)</f>
        <v>1450</v>
      </c>
    </row>
    <row r="62" spans="1:10" ht="18" customHeight="1" thickTop="1">
      <c r="A62" s="156" t="s">
        <v>22</v>
      </c>
      <c r="B62" s="236">
        <f>SUM(B61:B61)</f>
        <v>1450</v>
      </c>
      <c r="C62" s="136">
        <f>SUM(C61:C61)</f>
        <v>0</v>
      </c>
      <c r="D62" s="136">
        <f>SUM(D61:D61)</f>
        <v>0</v>
      </c>
      <c r="E62" s="136">
        <f>SUM(E61)</f>
        <v>0</v>
      </c>
      <c r="F62" s="40">
        <f>SUM(F61)</f>
        <v>0</v>
      </c>
      <c r="G62" s="40">
        <f>SUM(G61)</f>
        <v>0</v>
      </c>
      <c r="H62" s="40">
        <f>SUM(H61)</f>
        <v>0</v>
      </c>
      <c r="I62" s="40">
        <f>SUM(I61)</f>
        <v>0</v>
      </c>
      <c r="J62" s="54">
        <f>SUM(J61:J61)</f>
        <v>1450</v>
      </c>
    </row>
    <row r="63" spans="1:10" ht="18" customHeight="1">
      <c r="A63" s="63" t="s">
        <v>25</v>
      </c>
      <c r="B63" s="246">
        <v>18</v>
      </c>
      <c r="C63" s="267"/>
      <c r="D63" s="267"/>
      <c r="E63" s="44"/>
      <c r="F63" s="44"/>
      <c r="G63" s="44"/>
      <c r="H63" s="44"/>
      <c r="I63" s="44"/>
      <c r="J63" s="34"/>
    </row>
    <row r="64" spans="1:10" ht="18" customHeight="1">
      <c r="B64" s="247" t="s">
        <v>103</v>
      </c>
      <c r="C64" s="164"/>
      <c r="D64" s="164"/>
    </row>
    <row r="65" spans="1:10" ht="18" customHeight="1" thickBot="1">
      <c r="B65" s="346" t="s">
        <v>101</v>
      </c>
      <c r="C65" s="128"/>
      <c r="D65" s="128"/>
    </row>
    <row r="66" spans="1:10" ht="18" customHeight="1">
      <c r="A66" s="63"/>
      <c r="B66" s="57"/>
      <c r="C66" s="57"/>
      <c r="D66" s="57"/>
      <c r="E66" s="127"/>
      <c r="F66" s="127"/>
      <c r="G66" s="57"/>
      <c r="H66" s="57"/>
      <c r="I66" s="57"/>
      <c r="J66" s="34"/>
    </row>
    <row r="67" spans="1:10" ht="18" hidden="1" customHeight="1">
      <c r="A67" s="64" t="s">
        <v>26</v>
      </c>
      <c r="B67" s="65"/>
      <c r="C67" s="65"/>
      <c r="D67" s="65"/>
      <c r="E67" s="64"/>
      <c r="F67" s="29"/>
      <c r="G67" s="29"/>
      <c r="H67" s="29"/>
      <c r="I67" s="29"/>
      <c r="J67" s="29"/>
    </row>
    <row r="68" spans="1:10" ht="18" hidden="1" customHeight="1">
      <c r="A68" s="29"/>
      <c r="B68" s="66" t="s">
        <v>27</v>
      </c>
      <c r="C68" s="66"/>
      <c r="D68" s="66"/>
      <c r="E68" s="67"/>
      <c r="F68" s="67"/>
      <c r="G68" s="67"/>
      <c r="H68" s="67"/>
      <c r="I68" s="67"/>
      <c r="J68" s="67"/>
    </row>
    <row r="69" spans="1:10" ht="18" hidden="1" customHeight="1">
      <c r="A69" s="48" t="s">
        <v>20</v>
      </c>
      <c r="B69" s="36" t="s">
        <v>21</v>
      </c>
      <c r="C69" s="36"/>
      <c r="D69" s="36"/>
      <c r="E69" s="61"/>
      <c r="F69" s="61"/>
      <c r="G69" s="61"/>
      <c r="H69" s="61"/>
      <c r="I69" s="61"/>
      <c r="J69" s="37" t="s">
        <v>22</v>
      </c>
    </row>
    <row r="70" spans="1:10" ht="18" hidden="1" customHeight="1">
      <c r="A70" s="48" t="s">
        <v>9</v>
      </c>
      <c r="B70" s="68"/>
      <c r="C70" s="68"/>
      <c r="D70" s="68"/>
      <c r="E70" s="69"/>
      <c r="F70" s="69"/>
      <c r="G70" s="70"/>
      <c r="H70" s="70"/>
      <c r="I70" s="70"/>
      <c r="J70" s="71">
        <f>SUM(B70:F70)</f>
        <v>0</v>
      </c>
    </row>
    <row r="71" spans="1:10" ht="18" hidden="1" customHeight="1">
      <c r="A71" s="50" t="s">
        <v>8</v>
      </c>
      <c r="B71" s="51">
        <f>2991-250-1000-200-500-500-541</f>
        <v>0</v>
      </c>
      <c r="C71" s="51"/>
      <c r="D71" s="51"/>
      <c r="E71" s="72"/>
      <c r="F71" s="72"/>
      <c r="G71" s="73"/>
      <c r="H71" s="73"/>
      <c r="I71" s="73"/>
      <c r="J71" s="74">
        <f>SUM(B71:F71)</f>
        <v>0</v>
      </c>
    </row>
    <row r="72" spans="1:10" ht="18" hidden="1" customHeight="1" thickBot="1">
      <c r="A72" s="52" t="s">
        <v>7</v>
      </c>
      <c r="B72" s="38"/>
      <c r="C72" s="38"/>
      <c r="D72" s="38"/>
      <c r="E72" s="75"/>
      <c r="F72" s="75"/>
      <c r="G72" s="76"/>
      <c r="H72" s="76"/>
      <c r="I72" s="76"/>
      <c r="J72" s="39">
        <f>SUM(B72:F72)</f>
        <v>0</v>
      </c>
    </row>
    <row r="73" spans="1:10" ht="18" hidden="1" customHeight="1" thickTop="1">
      <c r="A73" s="53" t="s">
        <v>22</v>
      </c>
      <c r="B73" s="77">
        <f>SUM(B70:B72)</f>
        <v>0</v>
      </c>
      <c r="C73" s="77">
        <f>SUM(C70:C72)</f>
        <v>0</v>
      </c>
      <c r="D73" s="77"/>
      <c r="E73" s="77">
        <f>SUM(E72:E72)</f>
        <v>0</v>
      </c>
      <c r="F73" s="77">
        <f>SUM(F72:F72)</f>
        <v>0</v>
      </c>
      <c r="G73" s="77"/>
      <c r="H73" s="77"/>
      <c r="I73" s="77"/>
      <c r="J73" s="42">
        <f>SUM(J70:J72)</f>
        <v>0</v>
      </c>
    </row>
    <row r="74" spans="1:10" ht="18" hidden="1" customHeight="1">
      <c r="A74" s="55"/>
      <c r="B74" s="78">
        <v>15200</v>
      </c>
      <c r="C74" s="78"/>
      <c r="D74" s="78"/>
      <c r="E74" s="79"/>
      <c r="F74" s="79"/>
      <c r="G74" s="79"/>
      <c r="H74" s="79"/>
      <c r="I74" s="79"/>
      <c r="J74" s="80"/>
    </row>
    <row r="75" spans="1:10" ht="18" hidden="1" customHeight="1">
      <c r="A75" s="55"/>
      <c r="B75" s="81"/>
      <c r="C75" s="81"/>
      <c r="D75" s="81"/>
      <c r="E75" s="81"/>
      <c r="F75" s="81"/>
      <c r="G75" s="82"/>
      <c r="H75" s="82"/>
      <c r="I75" s="82"/>
    </row>
    <row r="76" spans="1:10" ht="18" hidden="1" customHeight="1" thickBot="1">
      <c r="A76" s="83" t="s">
        <v>112</v>
      </c>
      <c r="B76" s="84"/>
      <c r="C76" s="84"/>
      <c r="D76" s="249"/>
      <c r="E76" s="249"/>
      <c r="F76" s="249"/>
      <c r="G76" s="29"/>
      <c r="H76" s="29"/>
      <c r="I76" s="29"/>
      <c r="J76" s="29"/>
    </row>
    <row r="77" spans="1:10" ht="18" hidden="1" customHeight="1">
      <c r="A77" s="29"/>
      <c r="B77" s="309"/>
      <c r="C77" s="304"/>
      <c r="D77" s="33"/>
      <c r="E77" s="33"/>
      <c r="F77" s="33"/>
      <c r="G77" s="33"/>
      <c r="H77" s="33"/>
      <c r="I77" s="33"/>
      <c r="J77" s="34"/>
    </row>
    <row r="78" spans="1:10" ht="18" hidden="1" customHeight="1">
      <c r="A78" s="129" t="s">
        <v>20</v>
      </c>
      <c r="B78" s="269"/>
      <c r="C78" s="305"/>
      <c r="D78" s="126"/>
      <c r="E78" s="36"/>
      <c r="F78" s="36"/>
      <c r="G78" s="36"/>
      <c r="H78" s="36"/>
      <c r="I78" s="36"/>
      <c r="J78" s="37" t="s">
        <v>22</v>
      </c>
    </row>
    <row r="79" spans="1:10" ht="18" hidden="1" customHeight="1">
      <c r="A79" s="129" t="s">
        <v>114</v>
      </c>
      <c r="B79" s="310">
        <f>422-222-200</f>
        <v>0</v>
      </c>
      <c r="C79" s="306"/>
      <c r="D79" s="301"/>
      <c r="E79" s="302"/>
      <c r="F79" s="302"/>
      <c r="G79" s="302"/>
      <c r="H79" s="302"/>
      <c r="I79" s="302"/>
      <c r="J79" s="71">
        <f>SUM(B79:I79)</f>
        <v>0</v>
      </c>
    </row>
    <row r="80" spans="1:10" ht="18" hidden="1" customHeight="1" thickBot="1">
      <c r="A80" s="155" t="s">
        <v>115</v>
      </c>
      <c r="B80" s="311"/>
      <c r="C80" s="318">
        <f>664-300-300-64</f>
        <v>0</v>
      </c>
      <c r="D80" s="272"/>
      <c r="E80" s="94"/>
      <c r="F80" s="94"/>
      <c r="G80" s="94"/>
      <c r="H80" s="94"/>
      <c r="I80" s="94"/>
      <c r="J80" s="58">
        <f>SUM(B80:I80)</f>
        <v>0</v>
      </c>
    </row>
    <row r="81" spans="1:13" s="62" customFormat="1" ht="18" hidden="1" customHeight="1" thickTop="1">
      <c r="A81" s="156" t="s">
        <v>22</v>
      </c>
      <c r="B81" s="303">
        <f>SUM(B79:B80)</f>
        <v>0</v>
      </c>
      <c r="C81" s="307">
        <f>SUM(C79:C80)</f>
        <v>0</v>
      </c>
      <c r="D81" s="136">
        <f>SUM(D79:D80)</f>
        <v>0</v>
      </c>
      <c r="E81" s="136">
        <f t="shared" ref="E81:I81" si="11">SUM(E79:E80)</f>
        <v>0</v>
      </c>
      <c r="F81" s="136">
        <f t="shared" si="11"/>
        <v>0</v>
      </c>
      <c r="G81" s="136">
        <f t="shared" si="11"/>
        <v>0</v>
      </c>
      <c r="H81" s="136">
        <f t="shared" si="11"/>
        <v>0</v>
      </c>
      <c r="I81" s="136">
        <f t="shared" si="11"/>
        <v>0</v>
      </c>
      <c r="J81" s="42">
        <f>SUM(J79:J80)</f>
        <v>0</v>
      </c>
      <c r="K81" s="119"/>
      <c r="L81" s="119"/>
      <c r="M81" s="119"/>
    </row>
    <row r="82" spans="1:13" ht="18" hidden="1" customHeight="1" thickBot="1">
      <c r="A82" s="63" t="s">
        <v>25</v>
      </c>
      <c r="B82" s="312"/>
      <c r="C82" s="308"/>
      <c r="D82" s="46"/>
      <c r="E82" s="46"/>
      <c r="F82" s="46"/>
      <c r="G82" s="46"/>
      <c r="H82" s="46"/>
      <c r="I82" s="46"/>
      <c r="J82" s="34"/>
    </row>
    <row r="83" spans="1:13" ht="18" hidden="1" customHeight="1">
      <c r="A83" s="55"/>
      <c r="B83" s="270"/>
      <c r="C83" s="270"/>
      <c r="D83" s="46"/>
      <c r="E83" s="46"/>
      <c r="F83" s="46"/>
      <c r="G83" s="46"/>
      <c r="H83" s="46"/>
      <c r="I83" s="46"/>
      <c r="J83" s="34"/>
    </row>
    <row r="84" spans="1:13" ht="18" hidden="1" customHeight="1">
      <c r="A84" s="63"/>
      <c r="B84" s="57"/>
      <c r="C84" s="57"/>
      <c r="D84" s="57"/>
      <c r="E84" s="57"/>
      <c r="F84" s="57"/>
      <c r="G84" s="57"/>
      <c r="H84" s="57"/>
      <c r="I84" s="57"/>
      <c r="J84" s="34"/>
    </row>
    <row r="85" spans="1:13" ht="18" customHeight="1" thickBot="1">
      <c r="A85" s="120" t="s">
        <v>159</v>
      </c>
      <c r="B85" s="121"/>
      <c r="C85" s="121"/>
      <c r="D85" s="122"/>
      <c r="E85" s="250"/>
      <c r="F85" s="29"/>
      <c r="G85" s="29"/>
      <c r="H85" s="29"/>
      <c r="I85" s="29"/>
      <c r="J85" s="29"/>
    </row>
    <row r="86" spans="1:13" ht="18" customHeight="1">
      <c r="A86" s="29"/>
      <c r="B86" s="372" t="s">
        <v>137</v>
      </c>
      <c r="C86" s="378" t="s">
        <v>160</v>
      </c>
      <c r="D86" s="67"/>
      <c r="E86" s="67"/>
      <c r="F86" s="67"/>
      <c r="G86" s="33"/>
      <c r="H86" s="33"/>
      <c r="I86" s="33"/>
      <c r="J86" s="34"/>
    </row>
    <row r="87" spans="1:13" ht="18" customHeight="1">
      <c r="A87" s="129" t="s">
        <v>20</v>
      </c>
      <c r="B87" s="373" t="s">
        <v>143</v>
      </c>
      <c r="C87" s="314" t="s">
        <v>143</v>
      </c>
      <c r="D87" s="262"/>
      <c r="E87" s="262"/>
      <c r="F87" s="36"/>
      <c r="G87" s="126"/>
      <c r="H87" s="36"/>
      <c r="I87" s="36"/>
      <c r="J87" s="37" t="s">
        <v>22</v>
      </c>
    </row>
    <row r="88" spans="1:13" ht="18" customHeight="1">
      <c r="A88" s="129" t="s">
        <v>138</v>
      </c>
      <c r="B88" s="374">
        <f>500-200</f>
        <v>300</v>
      </c>
      <c r="C88" s="379"/>
      <c r="D88" s="371"/>
      <c r="E88" s="371"/>
      <c r="F88" s="371"/>
      <c r="G88" s="301"/>
      <c r="H88" s="302"/>
      <c r="I88" s="302"/>
      <c r="J88" s="71">
        <f>SUM(B88:I88)</f>
        <v>300</v>
      </c>
    </row>
    <row r="89" spans="1:13" ht="18" customHeight="1" thickBot="1">
      <c r="A89" s="155" t="s">
        <v>138</v>
      </c>
      <c r="B89" s="375"/>
      <c r="C89" s="380">
        <v>1000</v>
      </c>
      <c r="D89" s="370"/>
      <c r="E89" s="370"/>
      <c r="F89" s="370"/>
      <c r="G89" s="272"/>
      <c r="H89" s="94"/>
      <c r="I89" s="94"/>
      <c r="J89" s="58">
        <f>SUM(B89:I89)</f>
        <v>1000</v>
      </c>
    </row>
    <row r="90" spans="1:13" s="62" customFormat="1" ht="18" customHeight="1" thickTop="1">
      <c r="A90" s="156" t="s">
        <v>22</v>
      </c>
      <c r="B90" s="376">
        <f>SUM(B88:B89)</f>
        <v>300</v>
      </c>
      <c r="C90" s="381">
        <f>SUM(C88:C89)</f>
        <v>1000</v>
      </c>
      <c r="D90" s="40">
        <f>SUM(D88:D89)</f>
        <v>0</v>
      </c>
      <c r="E90" s="40">
        <f>SUM(E88:E89)</f>
        <v>0</v>
      </c>
      <c r="F90" s="40">
        <f t="shared" ref="F90:I90" si="12">SUM(F88:F89)</f>
        <v>0</v>
      </c>
      <c r="G90" s="40">
        <f t="shared" si="12"/>
        <v>0</v>
      </c>
      <c r="H90" s="40">
        <f t="shared" si="12"/>
        <v>0</v>
      </c>
      <c r="I90" s="40">
        <f t="shared" si="12"/>
        <v>0</v>
      </c>
      <c r="J90" s="42">
        <f>SUM(J88:J89)</f>
        <v>1300</v>
      </c>
      <c r="K90" s="119"/>
      <c r="L90" s="119"/>
      <c r="M90" s="119"/>
    </row>
    <row r="91" spans="1:13" ht="18" customHeight="1" thickBot="1">
      <c r="A91" s="55"/>
      <c r="B91" s="377">
        <v>141000</v>
      </c>
      <c r="C91" s="382">
        <v>136000</v>
      </c>
      <c r="D91" s="263"/>
      <c r="E91" s="263"/>
      <c r="F91" s="263"/>
      <c r="G91" s="46"/>
      <c r="H91" s="46"/>
      <c r="I91" s="46"/>
      <c r="J91" s="34"/>
    </row>
    <row r="92" spans="1:13" ht="18" customHeight="1">
      <c r="A92" s="63"/>
      <c r="B92" s="57"/>
      <c r="C92" s="57"/>
      <c r="D92" s="57"/>
      <c r="E92" s="57"/>
      <c r="F92" s="57"/>
      <c r="G92" s="57"/>
      <c r="H92" s="57"/>
      <c r="I92" s="57"/>
      <c r="J92" s="34"/>
    </row>
    <row r="93" spans="1:13" ht="18" hidden="1" customHeight="1">
      <c r="A93" s="89" t="s">
        <v>37</v>
      </c>
      <c r="B93" s="90"/>
      <c r="C93" s="90"/>
      <c r="D93" s="91"/>
      <c r="E93" s="85"/>
      <c r="F93" s="29"/>
      <c r="G93" s="29"/>
      <c r="H93" s="29"/>
      <c r="I93" s="29"/>
      <c r="J93" s="29"/>
    </row>
    <row r="94" spans="1:13" ht="18" hidden="1" customHeight="1">
      <c r="A94" s="29"/>
      <c r="B94" s="32" t="s">
        <v>33</v>
      </c>
      <c r="C94" s="33"/>
      <c r="D94" s="33"/>
      <c r="E94" s="33"/>
      <c r="F94" s="33"/>
      <c r="G94" s="33"/>
      <c r="H94" s="33"/>
      <c r="I94" s="33"/>
      <c r="J94" s="34"/>
    </row>
    <row r="95" spans="1:13" ht="18" hidden="1" customHeight="1">
      <c r="A95" s="48" t="s">
        <v>20</v>
      </c>
      <c r="B95" s="35" t="s">
        <v>34</v>
      </c>
      <c r="C95" s="36"/>
      <c r="D95" s="36"/>
      <c r="E95" s="36"/>
      <c r="F95" s="36"/>
      <c r="G95" s="36"/>
      <c r="H95" s="36"/>
      <c r="I95" s="36"/>
      <c r="J95" s="37" t="s">
        <v>22</v>
      </c>
    </row>
    <row r="96" spans="1:13" ht="18" hidden="1" customHeight="1" thickBot="1">
      <c r="A96" s="52" t="s">
        <v>32</v>
      </c>
      <c r="B96" s="86">
        <f>1250-300-950</f>
        <v>0</v>
      </c>
      <c r="C96" s="86"/>
      <c r="D96" s="86"/>
      <c r="E96" s="86"/>
      <c r="F96" s="86"/>
      <c r="G96" s="86"/>
      <c r="H96" s="86"/>
      <c r="I96" s="86"/>
      <c r="J96" s="39">
        <f>SUM(B96:I96)</f>
        <v>0</v>
      </c>
    </row>
    <row r="97" spans="1:13" ht="18" hidden="1" customHeight="1" thickTop="1" thickBot="1">
      <c r="A97" s="92" t="s">
        <v>10</v>
      </c>
      <c r="B97" s="93"/>
      <c r="C97" s="94"/>
      <c r="D97" s="94"/>
      <c r="E97" s="94"/>
      <c r="F97" s="94"/>
      <c r="G97" s="94"/>
      <c r="H97" s="94"/>
      <c r="I97" s="94"/>
      <c r="J97" s="58">
        <f>SUM(B97:I97)</f>
        <v>0</v>
      </c>
    </row>
    <row r="98" spans="1:13" s="62" customFormat="1" ht="18" hidden="1" customHeight="1" thickTop="1">
      <c r="A98" s="53" t="s">
        <v>22</v>
      </c>
      <c r="B98" s="40">
        <f t="shared" ref="B98:I98" si="13">SUM(B96:B96)</f>
        <v>0</v>
      </c>
      <c r="C98" s="40">
        <f t="shared" si="13"/>
        <v>0</v>
      </c>
      <c r="D98" s="40">
        <f t="shared" si="13"/>
        <v>0</v>
      </c>
      <c r="E98" s="40">
        <f t="shared" si="13"/>
        <v>0</v>
      </c>
      <c r="F98" s="40">
        <f t="shared" si="13"/>
        <v>0</v>
      </c>
      <c r="G98" s="40">
        <f>SUM(G96:G96)</f>
        <v>0</v>
      </c>
      <c r="H98" s="40">
        <f>SUM(H96:H96)</f>
        <v>0</v>
      </c>
      <c r="I98" s="40">
        <f t="shared" si="13"/>
        <v>0</v>
      </c>
      <c r="J98" s="42">
        <f>SUM(J96:J97)</f>
        <v>0</v>
      </c>
      <c r="K98" s="119"/>
      <c r="L98" s="119"/>
      <c r="M98" s="119"/>
    </row>
    <row r="99" spans="1:13" ht="18" hidden="1" customHeight="1">
      <c r="A99" s="55"/>
      <c r="B99" s="87">
        <v>71000</v>
      </c>
      <c r="C99" s="88"/>
      <c r="D99" s="46"/>
      <c r="E99" s="46"/>
      <c r="F99" s="46"/>
      <c r="G99" s="46"/>
      <c r="H99" s="46"/>
      <c r="I99" s="46"/>
      <c r="J99" s="34"/>
    </row>
    <row r="100" spans="1:13" ht="18" hidden="1" customHeight="1">
      <c r="B100" s="165"/>
      <c r="C100" s="165"/>
    </row>
    <row r="101" spans="1:13" ht="18" hidden="1" customHeight="1">
      <c r="A101" s="100" t="s">
        <v>39</v>
      </c>
      <c r="B101" s="101"/>
      <c r="C101" s="101"/>
      <c r="D101" s="102"/>
      <c r="E101" s="85"/>
      <c r="F101" s="29"/>
      <c r="G101" s="29"/>
      <c r="H101" s="29"/>
      <c r="I101" s="29"/>
      <c r="J101" s="29"/>
    </row>
    <row r="102" spans="1:13" ht="18" hidden="1" customHeight="1">
      <c r="A102" s="29"/>
      <c r="B102" s="33" t="s">
        <v>35</v>
      </c>
      <c r="C102" s="33"/>
      <c r="D102" s="33"/>
      <c r="E102" s="33"/>
      <c r="F102" s="33"/>
      <c r="G102" s="33"/>
      <c r="H102" s="33"/>
      <c r="I102" s="33"/>
      <c r="J102" s="34"/>
    </row>
    <row r="103" spans="1:13" ht="18" hidden="1" customHeight="1">
      <c r="A103" s="48" t="s">
        <v>20</v>
      </c>
      <c r="B103" s="36" t="s">
        <v>36</v>
      </c>
      <c r="C103" s="36"/>
      <c r="D103" s="36"/>
      <c r="E103" s="36"/>
      <c r="F103" s="36"/>
      <c r="G103" s="36"/>
      <c r="H103" s="36"/>
      <c r="I103" s="36"/>
      <c r="J103" s="37" t="s">
        <v>22</v>
      </c>
    </row>
    <row r="104" spans="1:13" ht="18" hidden="1" customHeight="1" thickBot="1">
      <c r="A104" s="52" t="s">
        <v>18</v>
      </c>
      <c r="B104" s="162">
        <v>0</v>
      </c>
      <c r="C104" s="86"/>
      <c r="D104" s="86"/>
      <c r="E104" s="86"/>
      <c r="F104" s="86"/>
      <c r="G104" s="86"/>
      <c r="H104" s="86"/>
      <c r="I104" s="86"/>
      <c r="J104" s="39">
        <f>SUM(B104:I104)</f>
        <v>0</v>
      </c>
    </row>
    <row r="105" spans="1:13" ht="18" hidden="1" customHeight="1" thickTop="1" thickBot="1">
      <c r="A105" s="92" t="s">
        <v>10</v>
      </c>
      <c r="B105" s="94"/>
      <c r="C105" s="94"/>
      <c r="D105" s="94"/>
      <c r="E105" s="94"/>
      <c r="F105" s="94"/>
      <c r="G105" s="94"/>
      <c r="H105" s="94"/>
      <c r="I105" s="94"/>
      <c r="J105" s="58">
        <f>SUM(B105:I105)</f>
        <v>0</v>
      </c>
    </row>
    <row r="106" spans="1:13" ht="18" hidden="1" customHeight="1" thickTop="1" thickBot="1">
      <c r="A106" s="52" t="s">
        <v>3</v>
      </c>
      <c r="B106" s="86"/>
      <c r="C106" s="86"/>
      <c r="D106" s="86"/>
      <c r="E106" s="86"/>
      <c r="F106" s="86"/>
      <c r="G106" s="86"/>
      <c r="H106" s="86"/>
      <c r="I106" s="86"/>
      <c r="J106" s="39">
        <f>SUM(B106:I106)</f>
        <v>0</v>
      </c>
    </row>
    <row r="107" spans="1:13" s="62" customFormat="1" ht="18" hidden="1" customHeight="1" thickTop="1">
      <c r="A107" s="53" t="s">
        <v>22</v>
      </c>
      <c r="B107" s="40">
        <f>SUM(B104:B104)</f>
        <v>0</v>
      </c>
      <c r="C107" s="40">
        <f t="shared" ref="C107:I107" si="14">SUM(C104:C104)</f>
        <v>0</v>
      </c>
      <c r="D107" s="40">
        <f t="shared" si="14"/>
        <v>0</v>
      </c>
      <c r="E107" s="40">
        <f t="shared" si="14"/>
        <v>0</v>
      </c>
      <c r="F107" s="40">
        <f t="shared" si="14"/>
        <v>0</v>
      </c>
      <c r="G107" s="40">
        <f>SUM(G104:G104)</f>
        <v>0</v>
      </c>
      <c r="H107" s="40">
        <f>SUM(H104:H104)</f>
        <v>0</v>
      </c>
      <c r="I107" s="40">
        <f t="shared" si="14"/>
        <v>0</v>
      </c>
      <c r="J107" s="42">
        <f>SUM(J104:J106)</f>
        <v>0</v>
      </c>
      <c r="K107" s="119"/>
      <c r="L107" s="119"/>
      <c r="M107" s="119"/>
    </row>
    <row r="108" spans="1:13" ht="18" hidden="1" customHeight="1">
      <c r="A108" s="55"/>
      <c r="B108" s="87">
        <v>19348</v>
      </c>
      <c r="C108" s="87"/>
      <c r="D108" s="46"/>
      <c r="E108" s="46"/>
      <c r="F108" s="46"/>
      <c r="G108" s="46"/>
      <c r="H108" s="46"/>
      <c r="I108" s="46"/>
      <c r="J108" s="34"/>
    </row>
    <row r="109" spans="1:13" ht="18" hidden="1" customHeight="1">
      <c r="A109" s="55"/>
      <c r="B109" s="87"/>
      <c r="C109" s="88"/>
      <c r="D109" s="46"/>
      <c r="E109" s="46"/>
      <c r="F109" s="46"/>
      <c r="G109" s="46"/>
      <c r="H109" s="46"/>
      <c r="I109" s="46"/>
      <c r="J109" s="34"/>
    </row>
    <row r="110" spans="1:13" ht="18" hidden="1" customHeight="1">
      <c r="A110" s="103" t="s">
        <v>29</v>
      </c>
      <c r="B110" s="104"/>
      <c r="C110" s="104"/>
      <c r="D110" s="105"/>
      <c r="E110" s="85"/>
      <c r="F110" s="29"/>
      <c r="G110" s="46"/>
      <c r="H110" s="46"/>
      <c r="I110" s="29"/>
      <c r="J110" s="29"/>
    </row>
    <row r="111" spans="1:13" ht="18" hidden="1" customHeight="1">
      <c r="A111" s="29"/>
      <c r="B111" s="106" t="s">
        <v>30</v>
      </c>
      <c r="C111" s="107"/>
      <c r="D111" s="33"/>
      <c r="E111" s="33"/>
      <c r="F111" s="33"/>
      <c r="G111" s="46"/>
      <c r="H111" s="46"/>
      <c r="I111" s="33"/>
      <c r="J111" s="34"/>
    </row>
    <row r="112" spans="1:13" ht="18" hidden="1" customHeight="1">
      <c r="A112" s="48" t="s">
        <v>20</v>
      </c>
      <c r="B112" s="35" t="s">
        <v>23</v>
      </c>
      <c r="C112" s="36"/>
      <c r="D112" s="36"/>
      <c r="E112" s="36"/>
      <c r="F112" s="36"/>
      <c r="G112" s="46"/>
      <c r="H112" s="46"/>
      <c r="I112" s="36"/>
      <c r="J112" s="37" t="s">
        <v>22</v>
      </c>
    </row>
    <row r="113" spans="1:13" ht="18" hidden="1" customHeight="1" thickBot="1">
      <c r="A113" s="52" t="s">
        <v>1</v>
      </c>
      <c r="B113" s="86">
        <f>2220-1000-300-920</f>
        <v>0</v>
      </c>
      <c r="C113" s="86"/>
      <c r="D113" s="86"/>
      <c r="E113" s="86"/>
      <c r="F113" s="86"/>
      <c r="G113" s="46"/>
      <c r="H113" s="46"/>
      <c r="I113" s="86"/>
      <c r="J113" s="39">
        <f>SUM(B113:I113)</f>
        <v>0</v>
      </c>
    </row>
    <row r="114" spans="1:13" s="62" customFormat="1" ht="18" hidden="1" customHeight="1" thickTop="1">
      <c r="A114" s="53" t="s">
        <v>22</v>
      </c>
      <c r="B114" s="40">
        <f t="shared" ref="B114:J114" si="15">SUM(B113:B113)</f>
        <v>0</v>
      </c>
      <c r="C114" s="40">
        <f t="shared" si="15"/>
        <v>0</v>
      </c>
      <c r="D114" s="40">
        <f t="shared" si="15"/>
        <v>0</v>
      </c>
      <c r="E114" s="40">
        <f t="shared" si="15"/>
        <v>0</v>
      </c>
      <c r="F114" s="40">
        <f t="shared" si="15"/>
        <v>0</v>
      </c>
      <c r="G114" s="46"/>
      <c r="H114" s="46"/>
      <c r="I114" s="40">
        <f t="shared" si="15"/>
        <v>0</v>
      </c>
      <c r="J114" s="42">
        <f t="shared" si="15"/>
        <v>0</v>
      </c>
      <c r="K114" s="119"/>
      <c r="L114" s="119"/>
      <c r="M114" s="119"/>
    </row>
    <row r="115" spans="1:13" ht="18" hidden="1" customHeight="1">
      <c r="A115" s="55"/>
      <c r="B115" s="87">
        <v>14500</v>
      </c>
      <c r="C115" s="88"/>
      <c r="D115" s="46"/>
      <c r="E115" s="46"/>
      <c r="F115" s="46"/>
      <c r="G115" s="46"/>
      <c r="H115" s="46"/>
      <c r="I115" s="46"/>
      <c r="J115" s="34"/>
    </row>
    <row r="116" spans="1:13" ht="18" hidden="1" customHeight="1">
      <c r="A116" s="63"/>
      <c r="B116" s="57"/>
      <c r="C116" s="57"/>
      <c r="D116" s="57"/>
      <c r="E116" s="57"/>
      <c r="F116" s="57"/>
      <c r="G116" s="46"/>
      <c r="H116" s="46"/>
      <c r="I116" s="57"/>
      <c r="J116" s="34"/>
    </row>
    <row r="117" spans="1:13" ht="22.5" customHeight="1">
      <c r="A117" s="55"/>
      <c r="B117" s="108"/>
      <c r="C117" s="108"/>
      <c r="D117" s="81"/>
      <c r="E117" s="81"/>
      <c r="G117" s="46"/>
      <c r="H117" s="46"/>
      <c r="I117" s="109" t="s">
        <v>31</v>
      </c>
      <c r="J117" s="110">
        <f>J25+J90+J81+J12+J42+J52+J62</f>
        <v>25658</v>
      </c>
    </row>
    <row r="118" spans="1:13" ht="15.95" customHeight="1">
      <c r="A118" s="55"/>
      <c r="B118" s="108"/>
      <c r="C118" s="108"/>
      <c r="D118" s="81"/>
      <c r="E118" s="81"/>
      <c r="F118" s="81"/>
      <c r="G118" s="82"/>
      <c r="H118" s="82"/>
      <c r="I118" s="82"/>
      <c r="J118" s="294"/>
    </row>
    <row r="119" spans="1:13" s="112" customFormat="1" ht="15.95" customHeight="1">
      <c r="A119" s="55"/>
      <c r="B119" s="80"/>
      <c r="C119" s="80"/>
      <c r="D119" s="82"/>
      <c r="E119" s="82"/>
      <c r="F119" s="82"/>
      <c r="G119" s="82"/>
      <c r="H119" s="82"/>
      <c r="I119" s="82"/>
      <c r="J119" s="111"/>
      <c r="K119" s="118"/>
      <c r="L119" s="118"/>
      <c r="M119" s="118"/>
    </row>
    <row r="120" spans="1:13" s="112" customFormat="1" ht="15.95" customHeight="1">
      <c r="B120" s="113"/>
      <c r="C120" s="113"/>
      <c r="J120" s="114"/>
      <c r="K120" s="118"/>
      <c r="L120" s="118"/>
      <c r="M120" s="118"/>
    </row>
  </sheetData>
  <mergeCells count="8">
    <mergeCell ref="J59:J60"/>
    <mergeCell ref="J5:J6"/>
    <mergeCell ref="J18:J19"/>
    <mergeCell ref="B1:I1"/>
    <mergeCell ref="J31:J32"/>
    <mergeCell ref="J49:J50"/>
    <mergeCell ref="B27:G27"/>
    <mergeCell ref="B14:H14"/>
  </mergeCells>
  <phoneticPr fontId="2" type="noConversion"/>
  <printOptions horizontalCentered="1"/>
  <pageMargins left="3.937007874015748E-2" right="3.937007874015748E-2" top="0.31496062992125984" bottom="0.15748031496062992" header="0.31496062992125984" footer="0.15748031496062992"/>
  <pageSetup paperSize="9" scale="81" fitToWidth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BD4F1-5D3B-4188-B132-A612DACB8D71}">
  <dimension ref="E9:E21"/>
  <sheetViews>
    <sheetView workbookViewId="0">
      <selection activeCell="A17" sqref="A17:XFD17"/>
    </sheetView>
  </sheetViews>
  <sheetFormatPr defaultRowHeight="13.5"/>
  <cols>
    <col min="5" max="5" width="13.77734375" style="227" bestFit="1" customWidth="1"/>
  </cols>
  <sheetData>
    <row r="9" spans="5:5">
      <c r="E9" s="227">
        <f>2904*1319.1*19</f>
        <v>72782661.599999994</v>
      </c>
    </row>
    <row r="10" spans="5:5">
      <c r="E10" s="227">
        <f>2895*1273.5*19</f>
        <v>70048867.5</v>
      </c>
    </row>
    <row r="11" spans="5:5">
      <c r="E11" s="227">
        <f>4900*1351.7*17.2</f>
        <v>113921276</v>
      </c>
    </row>
    <row r="14" spans="5:5">
      <c r="E14" s="227">
        <f>1365*1240.8*23.66</f>
        <v>40072752.719999999</v>
      </c>
    </row>
    <row r="15" spans="5:5">
      <c r="E15" s="227">
        <f>1885*1325.6*32.2</f>
        <v>80459943.200000003</v>
      </c>
    </row>
    <row r="17" spans="5:5">
      <c r="E17" s="227">
        <f>100*15.5*1390.1</f>
        <v>2154655</v>
      </c>
    </row>
    <row r="18" spans="5:5">
      <c r="E18" s="227">
        <f>100*15.5*1390.1</f>
        <v>2154655</v>
      </c>
    </row>
    <row r="19" spans="5:5">
      <c r="E19" s="227">
        <f>1504*15.25*1319.2</f>
        <v>30257171.199999999</v>
      </c>
    </row>
    <row r="20" spans="5:5">
      <c r="E20" s="227">
        <f>2280*15.25*1319.1</f>
        <v>45865107</v>
      </c>
    </row>
    <row r="21" spans="5:5">
      <c r="E21" s="227">
        <f>4683*15.5*1276.2</f>
        <v>92634891.299999997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04-27</vt:lpstr>
      <vt:lpstr>선적 계획</vt:lpstr>
      <vt:lpstr>상세재고 현황</vt:lpstr>
      <vt:lpstr>Sheet1</vt:lpstr>
      <vt:lpstr>'04-27'!Print_Area</vt:lpstr>
      <vt:lpstr>'상세재고 현황'!Print_Area</vt:lpstr>
      <vt:lpstr>'선적 계획'!Print_Area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JAKE HWANG</cp:lastModifiedBy>
  <cp:lastPrinted>2026-03-08T23:58:34Z</cp:lastPrinted>
  <dcterms:created xsi:type="dcterms:W3CDTF">2020-05-25T23:52:25Z</dcterms:created>
  <dcterms:modified xsi:type="dcterms:W3CDTF">2026-04-27T06:40:19Z</dcterms:modified>
</cp:coreProperties>
</file>